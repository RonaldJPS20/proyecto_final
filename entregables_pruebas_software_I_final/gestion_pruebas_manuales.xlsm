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YBER\Desktop\entregables_pruebas_software_I_final\"/>
    </mc:Choice>
  </mc:AlternateContent>
  <xr:revisionPtr revIDLastSave="0" documentId="13_ncr:1_{58C0399E-823B-46EB-BFE8-9003D4E989DE}" xr6:coauthVersionLast="47" xr6:coauthVersionMax="47" xr10:uidLastSave="{00000000-0000-0000-0000-000000000000}"/>
  <bookViews>
    <workbookView xWindow="-120" yWindow="-120" windowWidth="29040" windowHeight="15720" tabRatio="783" firstSheet="5" activeTab="5" xr2:uid="{00000000-000D-0000-FFFF-FFFF00000000}"/>
  </bookViews>
  <sheets>
    <sheet name="Calculo Factor de Ajuste" sheetId="3" state="hidden" r:id="rId1"/>
    <sheet name="Estimación 2" sheetId="12" state="hidden" r:id="rId2"/>
    <sheet name="Estimación 3" sheetId="13" state="hidden" r:id="rId3"/>
    <sheet name="Estimación 4" sheetId="14" state="hidden" r:id="rId4"/>
    <sheet name="Estimación 5" sheetId="15" state="hidden" r:id="rId5"/>
    <sheet name="Set De Pruebas" sheetId="22" r:id="rId6"/>
    <sheet name="Gestión de Actas" sheetId="9" state="hidden" r:id="rId7"/>
    <sheet name="Informe de Cierre" sheetId="5" state="hidden" r:id="rId8"/>
    <sheet name="listas" sheetId="4" state="hidden" r:id="rId9"/>
    <sheet name="Control de Cambios al Documento" sheetId="8" state="hidden" r:id="rId10"/>
  </sheets>
  <definedNames>
    <definedName name="Analista_Certificación" localSheetId="1">#REF!</definedName>
    <definedName name="Analista_Certificación" localSheetId="2">#REF!</definedName>
    <definedName name="Analista_Certificación" localSheetId="3">#REF!</definedName>
    <definedName name="Analista_Certificación" localSheetId="4">#REF!</definedName>
    <definedName name="Analista_Contable" localSheetId="1">#REF!</definedName>
    <definedName name="Analista_Contable" localSheetId="2">#REF!</definedName>
    <definedName name="Analista_Contable" localSheetId="3">#REF!</definedName>
    <definedName name="Analista_Contable" localSheetId="4">#REF!</definedName>
    <definedName name="Analista_Funcional" localSheetId="1">#REF!</definedName>
    <definedName name="Analista_Funcional" localSheetId="2">#REF!</definedName>
    <definedName name="Analista_Funcional" localSheetId="3">#REF!</definedName>
    <definedName name="Analista_Funcional" localSheetId="4">#REF!</definedName>
    <definedName name="Aplicativo" localSheetId="1">#REF!</definedName>
    <definedName name="Aplicativo" localSheetId="2">#REF!</definedName>
    <definedName name="Aplicativo" localSheetId="3">#REF!</definedName>
    <definedName name="Aplicativo" localSheetId="4">#REF!</definedName>
    <definedName name="ASIGNADODV">#REF!</definedName>
    <definedName name="CATEGORIAM">#REF!</definedName>
    <definedName name="Centro_de_Costos" localSheetId="1">#REF!</definedName>
    <definedName name="Centro_de_Costos" localSheetId="2">#REF!</definedName>
    <definedName name="Centro_de_Costos" localSheetId="3">#REF!</definedName>
    <definedName name="Centro_de_Costos" localSheetId="4">#REF!</definedName>
    <definedName name="CLASIFICACION">#REF!</definedName>
    <definedName name="Cliente" localSheetId="1">#REF!</definedName>
    <definedName name="Cliente" localSheetId="2">#REF!</definedName>
    <definedName name="Cliente" localSheetId="3">#REF!</definedName>
    <definedName name="Cliente" localSheetId="4">#REF!</definedName>
    <definedName name="Complejidad" localSheetId="1">#REF!</definedName>
    <definedName name="Complejidad" localSheetId="2">#REF!</definedName>
    <definedName name="Complejidad" localSheetId="3">#REF!</definedName>
    <definedName name="Complejidad" localSheetId="4">#REF!</definedName>
    <definedName name="COMPLEJIDAD">#REF!</definedName>
    <definedName name="DFestivos">#REF!</definedName>
    <definedName name="ESTADO">#REF!</definedName>
    <definedName name="ESTADOC1">#REF!</definedName>
    <definedName name="ESTADOC2">#REF!</definedName>
    <definedName name="ESTADOC3">#REF!</definedName>
    <definedName name="ESTADOR3">#REF!</definedName>
    <definedName name="FECHAREPORTE">#REF!</definedName>
    <definedName name="FUNCIONALIDAD">#REF!</definedName>
    <definedName name="HL">#REF!</definedName>
    <definedName name="ID">#REF!</definedName>
    <definedName name="IDCPADISEÑAR">#REF!</definedName>
    <definedName name="INFORMADOR">#REF!</definedName>
    <definedName name="IP" localSheetId="1">#REF!</definedName>
    <definedName name="IP" localSheetId="2">#REF!</definedName>
    <definedName name="IP" localSheetId="3">#REF!</definedName>
    <definedName name="IP" localSheetId="4">#REF!</definedName>
    <definedName name="Línea" localSheetId="1">#REF!</definedName>
    <definedName name="Línea" localSheetId="2">#REF!</definedName>
    <definedName name="Línea" localSheetId="3">#REF!</definedName>
    <definedName name="Línea" localSheetId="4">#REF!</definedName>
    <definedName name="lstAcuedeServi">#REF!</definedName>
    <definedName name="lstAcuerdos">#REF!</definedName>
    <definedName name="lstAcuerdosNivelSLA">#REF!</definedName>
    <definedName name="lstAcuerdosServicio">#REF!</definedName>
    <definedName name="lstAcuerdosSLA">#REF!</definedName>
    <definedName name="lstAcurdosServicio">#REF!</definedName>
    <definedName name="lstAcuSLAs">#REF!</definedName>
    <definedName name="lstAlcance">#REF!</definedName>
    <definedName name="lstAlcanceCert">#REF!</definedName>
    <definedName name="lstAlcandelaCert">#REF!</definedName>
    <definedName name="lstAlcCert">#REF!</definedName>
    <definedName name="lstAmbdePru">#REF!</definedName>
    <definedName name="lstAmbi">#REF!</definedName>
    <definedName name="lstAmbPruebas">#REF!</definedName>
    <definedName name="lstApDocu">#REF!</definedName>
    <definedName name="lstAprobacionDoc">#REF!</definedName>
    <definedName name="lstAprobdel">#REF!</definedName>
    <definedName name="lstAprobDocu">#REF!</definedName>
    <definedName name="lstBug">#REF!</definedName>
    <definedName name="lstCancelacion">#REF!</definedName>
    <definedName name="lstCritdeDev">#REF!</definedName>
    <definedName name="lstCrite">#REF!</definedName>
    <definedName name="lstCritedeSusyCan">#REF!</definedName>
    <definedName name="lstCriterios">#REF!</definedName>
    <definedName name="lstCriteriosdeCan">#REF!</definedName>
    <definedName name="lstCriteriosDevolucion">#REF!</definedName>
    <definedName name="lstCriteriosSusCanc">#REF!</definedName>
    <definedName name="lstCrono">#REF!</definedName>
    <definedName name="lstCronog">#REF!</definedName>
    <definedName name="lstCronograma">#REF!</definedName>
    <definedName name="lstCronoq">#REF!</definedName>
    <definedName name="lstDefModSistema">#REF!</definedName>
    <definedName name="lstEstraCert">#REF!</definedName>
    <definedName name="lstEstrat">#REF!</definedName>
    <definedName name="lstEstratdelaCert">#REF!</definedName>
    <definedName name="lstFasePrueba">#REF!</definedName>
    <definedName name="lstInfraPruebas">#REF!</definedName>
    <definedName name="lstIntCoCer">#REF!</definedName>
    <definedName name="lstInteg">#REF!</definedName>
    <definedName name="lstLimitaciones">#REF!</definedName>
    <definedName name="lstMatRieOp">#REF!</definedName>
    <definedName name="lstMatRiePruSecAu">#REF!</definedName>
    <definedName name="lstMatRiesgo">#REF!</definedName>
    <definedName name="lstMatriz">#REF!</definedName>
    <definedName name="lstMatrizFunc">#REF!</definedName>
    <definedName name="lstMatrizRiesgoFunc">#REF!</definedName>
    <definedName name="lstMatrizRiesgoOpera">#REF!</definedName>
    <definedName name="lstMatrizSec">#REF!</definedName>
    <definedName name="lstModSistem">#REF!</definedName>
    <definedName name="lstPrequi">#REF!</definedName>
    <definedName name="lstprere">#REF!</definedName>
    <definedName name="lstPreReqs">#REF!</definedName>
    <definedName name="lstPreRequisitos">#REF!</definedName>
    <definedName name="lstServicio">#REF!</definedName>
    <definedName name="lstSLAs">#REF!</definedName>
    <definedName name="lstSupGene">#REF!</definedName>
    <definedName name="lstSupuestosLimita">#REF!</definedName>
    <definedName name="lstSupuestosPrueba">#REF!</definedName>
    <definedName name="lstSusyLimi">#REF!</definedName>
    <definedName name="lstTech">#REF!</definedName>
    <definedName name="NCP">#REF!</definedName>
    <definedName name="PRIORIDAD">#REF!</definedName>
    <definedName name="RESOLUCIÓN">#REF!</definedName>
    <definedName name="Responsable_Prueba">#REF!</definedName>
    <definedName name="RESUMEN">#REF!</definedName>
    <definedName name="Soluciones" localSheetId="1">#REF!</definedName>
    <definedName name="Soluciones" localSheetId="2">#REF!</definedName>
    <definedName name="Soluciones" localSheetId="3">#REF!</definedName>
    <definedName name="Soluciones" localSheetId="4">#REF!</definedName>
    <definedName name="TIEMPO">#REF!</definedName>
  </definedNames>
  <calcPr calcId="191028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0" i="4" l="1"/>
  <c r="S20" i="4"/>
  <c r="R20" i="4"/>
  <c r="Q20" i="4"/>
  <c r="U19" i="4"/>
  <c r="U18" i="4"/>
  <c r="U17" i="4"/>
  <c r="U16" i="4"/>
  <c r="U15" i="4"/>
  <c r="U14" i="4"/>
  <c r="U20" i="4" l="1"/>
  <c r="C49" i="5" l="1"/>
  <c r="C42" i="5" l="1"/>
  <c r="C24" i="5" l="1"/>
  <c r="C21" i="5" l="1"/>
  <c r="C19" i="5"/>
  <c r="C22" i="5" s="1"/>
  <c r="C17" i="5"/>
  <c r="C18" i="5"/>
  <c r="I60" i="5" l="1"/>
  <c r="H60" i="5"/>
  <c r="G60" i="5"/>
  <c r="F60" i="5"/>
  <c r="E60" i="5"/>
  <c r="D60" i="5"/>
  <c r="C60" i="5"/>
  <c r="H58" i="5"/>
  <c r="G58" i="5"/>
  <c r="E58" i="5"/>
  <c r="F58" i="5"/>
  <c r="D58" i="5"/>
  <c r="C58" i="5"/>
  <c r="F56" i="5"/>
  <c r="F54" i="5"/>
  <c r="E54" i="5" s="1"/>
  <c r="D54" i="5"/>
  <c r="C54" i="5"/>
  <c r="E52" i="5"/>
  <c r="D52" i="5"/>
  <c r="C52" i="5"/>
  <c r="C36" i="5" l="1"/>
  <c r="B7" i="5" l="1"/>
  <c r="C24" i="3" l="1"/>
  <c r="C45" i="5" l="1"/>
  <c r="C2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tc={D0ED5D7A-A8D4-4B15-8B11-E83354455C95}</author>
    <author>tc={0278E1F6-0354-4BF3-9FFB-ADF70F4FAED0}</author>
    <author>tc={3A5BE23D-D4D2-41EA-BD60-E9ACA1A5AA5B}</author>
    <author>tc={B67EB4A7-BF0F-47EB-9067-3B22BB1DBA5F}</author>
  </authors>
  <commentList>
    <comment ref="C6" authorId="0" shapeId="0" xr:uid="{D0ED5D7A-A8D4-4B15-8B11-E83354455C95}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 se ejecuta todo el plan o se instala en producción con defectos abiertos con el aval de Usuario</t>
        </r>
      </text>
    </comment>
    <comment ref="D6" authorId="1" shapeId="0" xr:uid="{0278E1F6-0354-4BF3-9FFB-ADF70F4FAED0}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Plan de pruebas ejecutado al 100% sin defectos abiertos</t>
        </r>
      </text>
    </comment>
    <comment ref="C20" authorId="2" shapeId="0" xr:uid="{3A5BE23D-D4D2-41EA-BD60-E9ACA1A5AA5B}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Ingresar en este campo el tiempo Real en horas que le llevo ejecutar el plan de pruebas</t>
        </r>
      </text>
    </comment>
    <comment ref="C25" authorId="3" shapeId="0" xr:uid="{B67EB4A7-BF0F-47EB-9067-3B22BB1DBA5F}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es &lt;=0: Cumplimiento del Time To Market (estimación planeada)
Si es &gt;0: No cumple el Time To Market</t>
        </r>
      </text>
    </comment>
  </commentList>
</comments>
</file>

<file path=xl/sharedStrings.xml><?xml version="1.0" encoding="utf-8"?>
<sst xmlns="http://schemas.openxmlformats.org/spreadsheetml/2006/main" count="585" uniqueCount="425">
  <si>
    <t>Iniciativa</t>
  </si>
  <si>
    <t>PMO</t>
  </si>
  <si>
    <t>Etapa</t>
  </si>
  <si>
    <t>Responsable</t>
  </si>
  <si>
    <t>Analista QA</t>
  </si>
  <si>
    <t>Planeación</t>
  </si>
  <si>
    <t>Diseño</t>
  </si>
  <si>
    <t>Ejecución</t>
  </si>
  <si>
    <t>Cierre</t>
  </si>
  <si>
    <t>Total</t>
  </si>
  <si>
    <t>FACTOR DE RIESGO</t>
  </si>
  <si>
    <t>Causales de Desfase</t>
  </si>
  <si>
    <t>Pruebas
Funcionales</t>
  </si>
  <si>
    <t>Actividades de SW o HW no planeadas</t>
  </si>
  <si>
    <t>Actividades del proyecto no planeadas</t>
  </si>
  <si>
    <t>Administración y control de versiones o releases de documentación</t>
  </si>
  <si>
    <t>Administración y control de versiones o releases de software</t>
  </si>
  <si>
    <t>Apoyo a otros proyectos</t>
  </si>
  <si>
    <t>Calidad del set de datos</t>
  </si>
  <si>
    <t>Cambio de alcance</t>
  </si>
  <si>
    <t>Desconocimiento negocio</t>
  </si>
  <si>
    <t>Disponibilidad y sincronización de equipos de trabajo</t>
  </si>
  <si>
    <t>Ejecución en ambientes compartidos</t>
  </si>
  <si>
    <t>Ejecución simultánea de procesos no planeados en ambiente pruebas compartido</t>
  </si>
  <si>
    <t>Eventos externos</t>
  </si>
  <si>
    <t>Gestión issues</t>
  </si>
  <si>
    <t>Incumplimiento en la entrega de artefactos</t>
  </si>
  <si>
    <t>Inestabilidad del ambiente de pruebas durante la ejecución</t>
  </si>
  <si>
    <t>Mala calidad del artefacto recibido</t>
  </si>
  <si>
    <t>Novedades equipo de trabajo</t>
  </si>
  <si>
    <t>Retraso en entrega del Set de Datos</t>
  </si>
  <si>
    <t>Transferencia de Conocimiento</t>
  </si>
  <si>
    <t>Total Factor de ajuste para el tipo de prueba</t>
  </si>
  <si>
    <t>* El factor de Riesgo no debe superar el 30%</t>
  </si>
  <si>
    <t>ESTIMACION DE CASOS DE PRUEBA A DISEÑAR</t>
  </si>
  <si>
    <t>Id CP</t>
  </si>
  <si>
    <t xml:space="preserve">Clasificación </t>
  </si>
  <si>
    <t>Canal/Funcionalidad/HU</t>
  </si>
  <si>
    <t>Nombre del caso de prueba</t>
  </si>
  <si>
    <t>Complejidad Diseño</t>
  </si>
  <si>
    <t>Complejidad Ejecución</t>
  </si>
  <si>
    <t>CP001</t>
  </si>
  <si>
    <t>Medio</t>
  </si>
  <si>
    <t>Alto</t>
  </si>
  <si>
    <t>CP002</t>
  </si>
  <si>
    <t>Bajo</t>
  </si>
  <si>
    <t>CP003</t>
  </si>
  <si>
    <t>CP004</t>
  </si>
  <si>
    <t>CP005</t>
  </si>
  <si>
    <t xml:space="preserve">
</t>
  </si>
  <si>
    <t>Alta</t>
  </si>
  <si>
    <t>Análisis</t>
  </si>
  <si>
    <t>SET DETALLADO DE CASOS DE PRUEBA</t>
  </si>
  <si>
    <t>No</t>
  </si>
  <si>
    <t>Seguridad</t>
  </si>
  <si>
    <t>David Silva</t>
  </si>
  <si>
    <t>CP006</t>
  </si>
  <si>
    <t>CP007</t>
  </si>
  <si>
    <t>CP008</t>
  </si>
  <si>
    <t>Gestión Acta de Entrega de Software</t>
  </si>
  <si>
    <t>Fecha de Instalación</t>
  </si>
  <si>
    <t>Paquete de SW</t>
  </si>
  <si>
    <t>Versión</t>
  </si>
  <si>
    <t>Componente</t>
  </si>
  <si>
    <t>Desarrollador</t>
  </si>
  <si>
    <t>Tipo</t>
  </si>
  <si>
    <t>Estado</t>
  </si>
  <si>
    <t>Observaciones</t>
  </si>
  <si>
    <t>CC SOL01478 Mejoramiento de Vivienda - Recogesaldo</t>
  </si>
  <si>
    <t>MW3326_OSB12C_OperacionesComunesSiebelV2EXP_CC_SOL01365_CC_SOL01040_CC_SOL01479_RadicacionUPNF_1</t>
  </si>
  <si>
    <t>Middleware</t>
  </si>
  <si>
    <t>José Limberto Arrieta
Julian Orjuela
Oscar Moreno</t>
  </si>
  <si>
    <t>Protocolo</t>
  </si>
  <si>
    <t>En Producción</t>
  </si>
  <si>
    <t>MW3330_OSB12C_ComplementosHipotecarioSiebel_CC_CC SOL01478_1</t>
  </si>
  <si>
    <t>José Limberto Arrieta</t>
  </si>
  <si>
    <t>QACEN7333-E8</t>
  </si>
  <si>
    <t>Tareas Automáticas</t>
  </si>
  <si>
    <t>Andres Ramirez</t>
  </si>
  <si>
    <t>QACRM0181-E18</t>
  </si>
  <si>
    <t>Andrea Arevalo</t>
  </si>
  <si>
    <t>STAR4U0686_CC_SOL01478_Mejor_Viv_RecSald_1</t>
  </si>
  <si>
    <t>Star4U</t>
  </si>
  <si>
    <t>Tatiana Correa</t>
  </si>
  <si>
    <t>STRLT0584_CC_SOL01420_Cambio_Prioridad_2</t>
  </si>
  <si>
    <t>Angel Mauricio Soto</t>
  </si>
  <si>
    <t>Entrega de SW</t>
  </si>
  <si>
    <t>En pruebas</t>
  </si>
  <si>
    <t>INFORME DE CIERRE</t>
  </si>
  <si>
    <t>Tipo de Certificación</t>
  </si>
  <si>
    <t xml:space="preserve">Certificación </t>
  </si>
  <si>
    <t>Condicionada</t>
  </si>
  <si>
    <t>Certificada 100%</t>
  </si>
  <si>
    <t>X</t>
  </si>
  <si>
    <t>Se cumplieron los objetivos de negocio</t>
  </si>
  <si>
    <t>Si</t>
  </si>
  <si>
    <t>Reporte de Desfases</t>
  </si>
  <si>
    <t>Fecha Inicio de la prueba</t>
  </si>
  <si>
    <t>Fecha Fin de la prueba</t>
  </si>
  <si>
    <t>Tiempo sin Probar por Documentación</t>
  </si>
  <si>
    <t>Tiempo sin Probar por Indisponibilidad del ambiente</t>
  </si>
  <si>
    <t>Tiempo sin Probar por otras prioridades</t>
  </si>
  <si>
    <t>Tiempo real de pruebas (Etapa Ejecución)</t>
  </si>
  <si>
    <t>Tiempo otras Causales de desfase</t>
  </si>
  <si>
    <t>Tiempo Total de Pruebas</t>
  </si>
  <si>
    <t>Horas Planeadas Proyecto</t>
  </si>
  <si>
    <t>Desfase</t>
  </si>
  <si>
    <t>Causal de Desfase</t>
  </si>
  <si>
    <t>Horas</t>
  </si>
  <si>
    <t>Fecha</t>
  </si>
  <si>
    <t>Observación</t>
  </si>
  <si>
    <t>Atrazo por incumplimiento de fechas en la entrega de los desarrollos</t>
  </si>
  <si>
    <t>05/05/2023
10/05/2023</t>
  </si>
  <si>
    <t>* 2 Horas de retrazo en la entrega y despliegue del desarrollo
* 2 Horas de desfase por error en la instalación</t>
  </si>
  <si>
    <t>Indisponibilidad del ambiente</t>
  </si>
  <si>
    <t>* Se presentan 5 reinicios del ambiente de pruebas</t>
  </si>
  <si>
    <t>Reprocesos por inyección de errores en la etapa de pruebas</t>
  </si>
  <si>
    <t>Retraso en a solución de incidentes que impidan cerrar los casos de prueba de tipo bloqueante</t>
  </si>
  <si>
    <t>Errores en la instalación del sw que impliquen reprocesos en pruebas</t>
  </si>
  <si>
    <t>Cambio de prioridad</t>
  </si>
  <si>
    <t>* Se realiza cambio de prioridad por solicitud de la coordinación de pruebas del Banco</t>
  </si>
  <si>
    <t>Documentación incompleta</t>
  </si>
  <si>
    <t>* No se entrega toda la documentación requerida para poder determinar el alcance y realizar la estimación.</t>
  </si>
  <si>
    <t>Prerrequisitos mínimos para el inicio de pruebas</t>
  </si>
  <si>
    <t>Total Horas de Desfase</t>
  </si>
  <si>
    <t>Retest plan de Pruebas</t>
  </si>
  <si>
    <t>Número de Ejecuciones</t>
  </si>
  <si>
    <t>Casos ejecutados</t>
  </si>
  <si>
    <t>Ejecución Corrida 1</t>
  </si>
  <si>
    <t>Ejecución Corrida 2</t>
  </si>
  <si>
    <t>Ejecución Corrida 3</t>
  </si>
  <si>
    <t>Gestión de Incidentes</t>
  </si>
  <si>
    <t>Total defectos</t>
  </si>
  <si>
    <t>Defecto</t>
  </si>
  <si>
    <t>Hallazgo</t>
  </si>
  <si>
    <t>Mejora</t>
  </si>
  <si>
    <t>Impacto</t>
  </si>
  <si>
    <t>Bajo - C</t>
  </si>
  <si>
    <t>Medio - B</t>
  </si>
  <si>
    <t>Alto - A</t>
  </si>
  <si>
    <t>Severo - AA</t>
  </si>
  <si>
    <t>Requisitos</t>
  </si>
  <si>
    <t>Instalación</t>
  </si>
  <si>
    <t>Construcción</t>
  </si>
  <si>
    <t>Operación</t>
  </si>
  <si>
    <t>Cerrado</t>
  </si>
  <si>
    <t>Devuelto</t>
  </si>
  <si>
    <t>Monitoreo</t>
  </si>
  <si>
    <t>Asignado</t>
  </si>
  <si>
    <t>SFR</t>
  </si>
  <si>
    <t>Naturaleza</t>
  </si>
  <si>
    <t>Funcional</t>
  </si>
  <si>
    <t>Documentación</t>
  </si>
  <si>
    <t>Parametrización</t>
  </si>
  <si>
    <t>Ambiente</t>
  </si>
  <si>
    <t>Datos</t>
  </si>
  <si>
    <t>Performance</t>
  </si>
  <si>
    <t>Efectividad</t>
  </si>
  <si>
    <t>Numero de reaperturas</t>
  </si>
  <si>
    <t>Errores inyectados</t>
  </si>
  <si>
    <t>Entregable</t>
  </si>
  <si>
    <t>Estado Ejecución</t>
  </si>
  <si>
    <t>Caso Reutilizado</t>
  </si>
  <si>
    <t>Prioridad - impacto</t>
  </si>
  <si>
    <t>Estado Acta</t>
  </si>
  <si>
    <t>Tipo de Acta</t>
  </si>
  <si>
    <t>Analistas</t>
  </si>
  <si>
    <t>Responsable desfase</t>
  </si>
  <si>
    <t>Etapas de Pruebas</t>
  </si>
  <si>
    <t>Retest</t>
  </si>
  <si>
    <t>Categoria Incidencias</t>
  </si>
  <si>
    <t>Único</t>
  </si>
  <si>
    <t>BLOQUEADO</t>
  </si>
  <si>
    <t>NO</t>
  </si>
  <si>
    <t>Devuelta</t>
  </si>
  <si>
    <t>Incapacidad</t>
  </si>
  <si>
    <t>QA</t>
  </si>
  <si>
    <t>Especificación</t>
  </si>
  <si>
    <t>Tabla Avace por funcionalidad</t>
  </si>
  <si>
    <t>E1</t>
  </si>
  <si>
    <t>EXITOSO</t>
  </si>
  <si>
    <t>SI</t>
  </si>
  <si>
    <t>Adriana Maria Ortiz Arias</t>
  </si>
  <si>
    <t>Licencias</t>
  </si>
  <si>
    <t>Desarrollo</t>
  </si>
  <si>
    <t>Exitoso</t>
  </si>
  <si>
    <t>Preexistencia/Ambientes</t>
  </si>
  <si>
    <t>Tipo de incidencia</t>
  </si>
  <si>
    <t>Categoria</t>
  </si>
  <si>
    <t>Incidencias actuales</t>
  </si>
  <si>
    <t>Total historico</t>
  </si>
  <si>
    <t xml:space="preserve">Atribuido </t>
  </si>
  <si>
    <t>E2</t>
  </si>
  <si>
    <t>FALLIDO</t>
  </si>
  <si>
    <t>Gestionada</t>
  </si>
  <si>
    <t>Albert Conde</t>
  </si>
  <si>
    <t>Calamidades</t>
  </si>
  <si>
    <t>Proveedor</t>
  </si>
  <si>
    <t>Fallido</t>
  </si>
  <si>
    <t>Sugerencia/Mejora</t>
  </si>
  <si>
    <t>Líder de Negocio</t>
  </si>
  <si>
    <t>Error</t>
  </si>
  <si>
    <t>Cuenta de Canal/Funcionalidad/HU</t>
  </si>
  <si>
    <t>Etiquetas de columna</t>
  </si>
  <si>
    <t>E3</t>
  </si>
  <si>
    <t>APAGADO</t>
  </si>
  <si>
    <t>Alexis Cordoba Betancourt</t>
  </si>
  <si>
    <t>Problemas con el mantis y el testlink</t>
  </si>
  <si>
    <t>Pregunta/Aclaración/Conocimiento</t>
  </si>
  <si>
    <t>CP POR EJECUTAR</t>
  </si>
  <si>
    <t>TOTAL CP</t>
  </si>
  <si>
    <t>E4</t>
  </si>
  <si>
    <t>En Instalación</t>
  </si>
  <si>
    <t>Alvaro Nieto Rojas</t>
  </si>
  <si>
    <t>Reprocesos en ejecución de casos de prueba</t>
  </si>
  <si>
    <t>Infraestructura-QA</t>
  </si>
  <si>
    <t>Interfaz</t>
  </si>
  <si>
    <t>HU548Transferencias propias</t>
  </si>
  <si>
    <t>E5</t>
  </si>
  <si>
    <t>Anderson Johan Guerrero Jején</t>
  </si>
  <si>
    <t>Planeación no efectiva para la asignación de proyectos</t>
  </si>
  <si>
    <t>Negocio</t>
  </si>
  <si>
    <t>Parámetro</t>
  </si>
  <si>
    <t>General</t>
  </si>
  <si>
    <t>S1</t>
  </si>
  <si>
    <t>Andres Felipe Devia Muñoz</t>
  </si>
  <si>
    <t>Falta de gestión de usuarios en la Planeación</t>
  </si>
  <si>
    <t>Infraestructura UAC</t>
  </si>
  <si>
    <t>Desempeño</t>
  </si>
  <si>
    <t>Preexistencia</t>
  </si>
  <si>
    <t>HU549Transferencias a terceros</t>
  </si>
  <si>
    <t>S2</t>
  </si>
  <si>
    <t>Angie Nairovy Orjuela Sanchez</t>
  </si>
  <si>
    <t>Gestión y apoyo a desarrollo</t>
  </si>
  <si>
    <t>Desarrollo/proveedor</t>
  </si>
  <si>
    <t>Sugerencia o mejora</t>
  </si>
  <si>
    <t>Portal Web Banca Empresas</t>
  </si>
  <si>
    <t>S3</t>
  </si>
  <si>
    <t>Astrid Carolina Tierradentro S</t>
  </si>
  <si>
    <t>Espera de solución de incidentes Bloqueantes o stopper</t>
  </si>
  <si>
    <t>Aclaración/Pregunta</t>
  </si>
  <si>
    <t>Configuración débito automático</t>
  </si>
  <si>
    <t>S4</t>
  </si>
  <si>
    <t>Bayron Felipe Rodriguez Carrillo</t>
  </si>
  <si>
    <t>Falta de asignación lider técnico en atención de proyecto en pruebas</t>
  </si>
  <si>
    <t>S5</t>
  </si>
  <si>
    <t>Brandon Abraham Amaya Castillo</t>
  </si>
  <si>
    <t>Formas sin desplegar en el ambiente por la entrega realizada</t>
  </si>
  <si>
    <t>Severidad de los inicidentes</t>
  </si>
  <si>
    <t>S6</t>
  </si>
  <si>
    <t>Camilo Mamian Becerra</t>
  </si>
  <si>
    <t>Cambios de las formas sin Informar</t>
  </si>
  <si>
    <t>Stopper</t>
  </si>
  <si>
    <t>Mayor</t>
  </si>
  <si>
    <t>Media</t>
  </si>
  <si>
    <t>Menor</t>
  </si>
  <si>
    <t xml:space="preserve">Total </t>
  </si>
  <si>
    <t>S7</t>
  </si>
  <si>
    <t>Carlos Alberto Angel Peña</t>
  </si>
  <si>
    <t>Fallas en el bus de integración</t>
  </si>
  <si>
    <t>S8</t>
  </si>
  <si>
    <t>Carol Julieth Gomez</t>
  </si>
  <si>
    <t>Ejecución de retest (desde el segunto retest)</t>
  </si>
  <si>
    <t>Resuelto</t>
  </si>
  <si>
    <t>S9</t>
  </si>
  <si>
    <t>Carolina Villa Reyes</t>
  </si>
  <si>
    <t>Regresiones no planeadas</t>
  </si>
  <si>
    <t>Reabierto</t>
  </si>
  <si>
    <t>S10</t>
  </si>
  <si>
    <t>Cesar Alejandro Ortiz Mendoza</t>
  </si>
  <si>
    <t>Demoras en la entrega de ambientes</t>
  </si>
  <si>
    <t>Reasignado</t>
  </si>
  <si>
    <t>S11</t>
  </si>
  <si>
    <t>Christian Camilo Aya Jimenez</t>
  </si>
  <si>
    <t>Dependencias en despliegues, actualizaciones y ajustes</t>
  </si>
  <si>
    <t>Banco</t>
  </si>
  <si>
    <t>S12</t>
  </si>
  <si>
    <t>Claudia Lorena Loaiza Anzola</t>
  </si>
  <si>
    <t>Asignación planeada de ingeniero de desarrollo menor al 100%</t>
  </si>
  <si>
    <t>Cancelado</t>
  </si>
  <si>
    <t>S13</t>
  </si>
  <si>
    <t>Cristian David Dominguez Samboni</t>
  </si>
  <si>
    <t>Ambientes compartidos (Cambios de Fecha en la base de datos)</t>
  </si>
  <si>
    <t>Infraestructura</t>
  </si>
  <si>
    <t>TOTAL</t>
  </si>
  <si>
    <t>S14</t>
  </si>
  <si>
    <t>Daniel Felipe Cubillos Acuña</t>
  </si>
  <si>
    <t>Inconvenientes  y caídas de ambiente</t>
  </si>
  <si>
    <t>S15</t>
  </si>
  <si>
    <t>Daniel Felipe Sandoval Solano</t>
  </si>
  <si>
    <t>Caída de red</t>
  </si>
  <si>
    <t>Diana Alejandra Ruiz Pinzón</t>
  </si>
  <si>
    <t>Lentitud de la aplicación  y/o intermitencia de la misma</t>
  </si>
  <si>
    <t>Erika Daniela Vargas Moreno </t>
  </si>
  <si>
    <t>Problemas conexión vpn</t>
  </si>
  <si>
    <t>Fabian Camilo Daza M</t>
  </si>
  <si>
    <t>Problemas con el equipo de Corredores</t>
  </si>
  <si>
    <t>Fanny Amparo Zapata Lopera</t>
  </si>
  <si>
    <t>Problemas de base de datos, no conexión a BD</t>
  </si>
  <si>
    <t>Giovani Lizarazo Fuentes</t>
  </si>
  <si>
    <t>Permisos de administrador en configuraciones necesarias</t>
  </si>
  <si>
    <t>Gloria Esperanza Arana Sanchez</t>
  </si>
  <si>
    <t>Falta de data para las pruebas</t>
  </si>
  <si>
    <t>Heidy Yurani Caicedo Guzmán </t>
  </si>
  <si>
    <t>Alcance no definido y/o diferente al aprobado</t>
  </si>
  <si>
    <t>Jaime Orlando  Vargas Caro</t>
  </si>
  <si>
    <t>Nuevas funcionalidades incluidas</t>
  </si>
  <si>
    <t>Jessica Julieth Lozano Amado</t>
  </si>
  <si>
    <t>Cambios en la documentación y/o artefactos insumo de pruebas</t>
  </si>
  <si>
    <t>Jimmy Alexander Galindo Loaiza</t>
  </si>
  <si>
    <t>Gestión y apoyo a Funcionales</t>
  </si>
  <si>
    <t>John Sebastian Tibaquira Pintor</t>
  </si>
  <si>
    <t>Jonathan Camilo Contreras Tenorio</t>
  </si>
  <si>
    <t>Juan Camilo Martinez Rozo</t>
  </si>
  <si>
    <t>Juan Camilo Ortiz Fajardo</t>
  </si>
  <si>
    <t>Juan Diego Arias Higuita</t>
  </si>
  <si>
    <t>Julian David Ortiz Guerrero</t>
  </si>
  <si>
    <t>Karelys Yeniris Perdomo Lopez</t>
  </si>
  <si>
    <t>Lucas Eduardo Rojas Fierro</t>
  </si>
  <si>
    <t>Luisa Fernanda Merchan Abril</t>
  </si>
  <si>
    <t>Luisa María Pérez Corregidor</t>
  </si>
  <si>
    <t>Marcela Velásquez Baquero</t>
  </si>
  <si>
    <t>Marisol Molina Molina</t>
  </si>
  <si>
    <t>Maryuri Zuluaga Muñoz/Juan Fernando Cordoba</t>
  </si>
  <si>
    <t>Mateo Valencia Cipagauta</t>
  </si>
  <si>
    <t>Miguel Ignacio Rodriguez Suarez</t>
  </si>
  <si>
    <t>Miguel Octavio Paez</t>
  </si>
  <si>
    <t>Monica Tatiana Reyes</t>
  </si>
  <si>
    <t>Neffer Morales Espinosa</t>
  </si>
  <si>
    <t>Oscar Augusto Rocha Mosquera</t>
  </si>
  <si>
    <t>Paulo Emilio Castaneda Salamanca</t>
  </si>
  <si>
    <t>Randy Dixon Osorio Leal</t>
  </si>
  <si>
    <t>Rosa Gricelda Cordoba</t>
  </si>
  <si>
    <t>Ruth Liliana Suarez Suarez</t>
  </si>
  <si>
    <t>Sandra Viviana González</t>
  </si>
  <si>
    <t>Sonia Alexandra Mora Becerra</t>
  </si>
  <si>
    <t>Walther Alejandro Vera Martinez</t>
  </si>
  <si>
    <t>Wilmer Simarra Cañate</t>
  </si>
  <si>
    <t>Wilson Arturo Quevedo Isaza</t>
  </si>
  <si>
    <t>Yarima Patricia Blanco Godoy</t>
  </si>
  <si>
    <t>CONTROL DE CAMBIOS</t>
  </si>
  <si>
    <t> </t>
  </si>
  <si>
    <t xml:space="preserve">Versión </t>
  </si>
  <si>
    <t>Acción tomada</t>
  </si>
  <si>
    <t>Fecha de acción</t>
  </si>
  <si>
    <t>Resumen de cambios</t>
  </si>
  <si>
    <t xml:space="preserve">Responsable de la acción </t>
  </si>
  <si>
    <t>Aprobado por</t>
  </si>
  <si>
    <t>1.0</t>
  </si>
  <si>
    <t>Creación Documento</t>
  </si>
  <si>
    <t>Creación del documento</t>
  </si>
  <si>
    <t>Cordinadora de Pruebas</t>
  </si>
  <si>
    <t>Gerentre de Servicio</t>
  </si>
  <si>
    <t>2.0</t>
  </si>
  <si>
    <t>Modificación Nombre documento</t>
  </si>
  <si>
    <t>Se modifica el nombre del archivo de "Plantilla_Estimación y Plan de Pruebas" a "Gestión de Pruebas"</t>
  </si>
  <si>
    <t>Líder de Frente Operación Diaria</t>
  </si>
  <si>
    <t>3.0</t>
  </si>
  <si>
    <t>Modificación Documento</t>
  </si>
  <si>
    <t>Se ajusta el cálculo de los indicadores en la hoja Balance de pruebas</t>
  </si>
  <si>
    <t>Líder de frente Banca Digital Choucair</t>
  </si>
  <si>
    <t>4.0</t>
  </si>
  <si>
    <t xml:space="preserve">Se optimiza el proceso de gestión de incidentes dentro del archivo y se agrega hoja CSVMantis con una macro para optimizar el proceso </t>
  </si>
  <si>
    <t>TPL Operación Diaria</t>
  </si>
  <si>
    <t>5.0</t>
  </si>
  <si>
    <t xml:space="preserve">Se incluye hoja de control de cambios en la plantilla de la caracterización </t>
  </si>
  <si>
    <t>Analista ingeniería de procesos
Líder de transformación de procesos</t>
  </si>
  <si>
    <t>5.1</t>
  </si>
  <si>
    <t>Actualización cálculo tiempo promedio de ejecución por caso de prueba "Balance de Pruebas"</t>
  </si>
  <si>
    <t>5.2</t>
  </si>
  <si>
    <t>Se incorpora Hoja "Gestión Actas" para el seguimiento de las esntregas de software.</t>
  </si>
  <si>
    <t>5.3</t>
  </si>
  <si>
    <t>Se actualiza hoja "Informe de Cierre" y se optimizan cálculos.</t>
  </si>
  <si>
    <t>5.4</t>
  </si>
  <si>
    <t>Se restructura el archivo en la estimación de tiempos e informe de avance</t>
  </si>
  <si>
    <t>Gerentre de Pruebas de Software y Gerente de Servicio</t>
  </si>
  <si>
    <t>5.5</t>
  </si>
  <si>
    <t>Se restructura el archivo en la estimación de tiempos e informe de avance, se crea hoja de desfases y tabla general</t>
  </si>
  <si>
    <t>Fecha Creación o Modificación del Caso</t>
  </si>
  <si>
    <t>Prioridad</t>
  </si>
  <si>
    <t>Clasificación</t>
  </si>
  <si>
    <t>Nombre Caso de Prueba</t>
  </si>
  <si>
    <t>Descripción Caso Prueba</t>
  </si>
  <si>
    <t>Precondiciones</t>
  </si>
  <si>
    <t>Paso a Paso</t>
  </si>
  <si>
    <t>Resultado Esperado</t>
  </si>
  <si>
    <t>Envío exitoso del formulario</t>
  </si>
  <si>
    <t>web</t>
  </si>
  <si>
    <t>Prueba de Diseño Responsive</t>
  </si>
  <si>
    <t>Verificar que el sitio se adapte correctamente a pantallas móviles y de escritorio.</t>
  </si>
  <si>
    <t>Ir a la URL de la tienda. Sitio cargado en navegador.</t>
  </si>
  <si>
    <t>1. Abrir sitio en navegador de escritorio
2. Redimensionar la ventana
3. Abrir en navegador móvil</t>
  </si>
  <si>
    <t>El sitio debe ajustarse adecuadamente a todos los tamaños de pantalla sin desbordes ni errores de diseño.</t>
  </si>
  <si>
    <t>Ir a la URL de la tienda.Galería de productos cargada.</t>
  </si>
  <si>
    <t>1. Hacer clic en categoría 'Niños'
2. Verificar los productos listados</t>
  </si>
  <si>
    <t>Solo deben aparecer juegos pertenecientes a la categoría Infantil.</t>
  </si>
  <si>
    <t>Filtro por categoría: Carreras</t>
  </si>
  <si>
    <t>Probar que al seleccionar la categoría Carreras solo se muestren juegos de carreras.</t>
  </si>
  <si>
    <t>1. Hacer clic en categoría 'Carreras'
2. Verificar los productos listados</t>
  </si>
  <si>
    <t>Solo deben aparecer juegos pertenecientes a la categoría Carreras.</t>
  </si>
  <si>
    <t>Filtro por categoría: Shooter</t>
  </si>
  <si>
    <t>Probar que al seleccionar la categoría Shooter solo se muestren juegos de disparos.</t>
  </si>
  <si>
    <t>1. Hacer clic en categoría 'Shooter'
2. Verificar los productos listados</t>
  </si>
  <si>
    <t>Solo deben aparecer juegos pertenecientes a la categoría Shooter.</t>
  </si>
  <si>
    <t>Validación campo correo</t>
  </si>
  <si>
    <t>Verificar que el formulario muestre error si no se llena el campo de correo.</t>
  </si>
  <si>
    <t>Ir a la URL de la tienda.Formulario disponible.</t>
  </si>
  <si>
    <t>1. Ir a página de contacto
2. Dejar campo correo vacío
3. Enviar formulario</t>
  </si>
  <si>
    <t>Se muestra un mensaje de error indicando que el correo es obligatorio.</t>
  </si>
  <si>
    <t>Verificar que el formulario se envíe correctamente si todos los campos son válidos.</t>
  </si>
  <si>
    <t>Ir a la URL de la tienda.Formulario disponible y accesible.</t>
  </si>
  <si>
    <t>1. Llenar todos los campos correctamente
2. Hacer clic en enviar</t>
  </si>
  <si>
    <t>Formulario enviado correctamente y muestra mensaje de éxito.</t>
  </si>
  <si>
    <t>Botón añadir al carrito</t>
  </si>
  <si>
    <t>Verificar que al hacer clic en 'Añadir al carrito', el producto se agregue correctamente.</t>
  </si>
  <si>
    <t>Ir a la URL de la tienda.Página de galería cargada.</t>
  </si>
  <si>
    <t>1. Hacer clic en el botón 'Añadir al carrito' en un juego
2. Verificar el contador del carrito</t>
  </si>
  <si>
    <t>El contador del carrito aumenta y el producto es añadido correctamente.</t>
  </si>
  <si>
    <t>Carga de página principal</t>
  </si>
  <si>
    <t>Verificar que todos los elementos del inicio se cargan correctamente.</t>
  </si>
  <si>
    <t>Ninguna.</t>
  </si>
  <si>
    <t>1. Abrir el sitio web
2. Observar elementos del inicio</t>
  </si>
  <si>
    <t>Se cargan correctamente los textos, imágenes y botones de la página de inicio.</t>
  </si>
  <si>
    <t>Probar que al seleccionar la categoría niños solo se muestren juegos de niños.</t>
  </si>
  <si>
    <t>Filtro por categoría: Niños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</si>
</sst>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.0"/>
    <numFmt numFmtId="166" formatCode="[$-C0A]d\-mmm\-yyyy"/>
    <numFmt numFmtId="167" formatCode="d/mm/h:mm\ AM/PM"/>
  </numFmts>
  <fonts count="5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name val="Calibri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9"/>
      <color theme="1"/>
      <name val="Arial"/>
      <family val="2"/>
    </font>
    <font>
      <sz val="11"/>
      <color rgb="FFBFBFBF"/>
      <name val="Arial"/>
      <family val="2"/>
    </font>
    <font>
      <sz val="8"/>
      <color rgb="FF000000"/>
      <name val="Arial"/>
      <family val="2"/>
    </font>
    <font>
      <b/>
      <sz val="9"/>
      <color rgb="FFFFFFFF"/>
      <name val="Arial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name val="Arial"/>
      <family val="2"/>
    </font>
    <font>
      <sz val="14"/>
      <color rgb="FF000000"/>
      <name val="Arial Black"/>
      <family val="2"/>
    </font>
    <font>
      <sz val="12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2"/>
      <color theme="0"/>
      <name val="Arial Black"/>
      <family val="2"/>
    </font>
    <font>
      <b/>
      <sz val="9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0"/>
      <name val="Calibri"/>
      <family val="2"/>
    </font>
    <font>
      <sz val="8"/>
      <color rgb="FF366092"/>
      <name val="Arial"/>
      <family val="2"/>
    </font>
    <font>
      <sz val="8"/>
      <color rgb="FF1155CC"/>
      <name val="Arial"/>
      <family val="2"/>
    </font>
    <font>
      <sz val="12"/>
      <color theme="1"/>
      <name val="Arial"/>
      <family val="2"/>
    </font>
    <font>
      <b/>
      <sz val="11"/>
      <color rgb="FF000000"/>
      <name val="Arial"/>
      <family val="2"/>
    </font>
    <font>
      <sz val="8"/>
      <color rgb="FF274E13"/>
      <name val="Arial"/>
      <family val="2"/>
    </font>
    <font>
      <b/>
      <strike/>
      <sz val="11"/>
      <color rgb="FF000000"/>
      <name val="Arial"/>
      <family val="2"/>
    </font>
    <font>
      <b/>
      <sz val="12"/>
      <color theme="1"/>
      <name val="Arial"/>
      <family val="2"/>
    </font>
    <font>
      <b/>
      <strike/>
      <sz val="11"/>
      <color rgb="FFFFFFFF"/>
      <name val="Arial"/>
      <family val="2"/>
    </font>
    <font>
      <sz val="8"/>
      <color rgb="FF999999"/>
      <name val="Arial"/>
      <family val="2"/>
    </font>
    <font>
      <sz val="8"/>
      <color rgb="FF990000"/>
      <name val="Arial"/>
      <family val="2"/>
    </font>
    <font>
      <sz val="8"/>
      <color rgb="FF0000FF"/>
      <name val="Arial"/>
      <family val="2"/>
    </font>
    <font>
      <sz val="10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rgb="FFE36C0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E36C09"/>
      </patternFill>
    </fill>
    <fill>
      <patternFill patternType="solid">
        <fgColor rgb="FFE8F0FE"/>
        <bgColor rgb="FFE8F0FE"/>
      </patternFill>
    </fill>
    <fill>
      <patternFill patternType="solid">
        <fgColor rgb="FFC00000"/>
        <bgColor rgb="FFC00000"/>
      </patternFill>
    </fill>
    <fill>
      <patternFill patternType="solid">
        <fgColor rgb="FFBFBFBF"/>
        <bgColor rgb="FFBFBFBF"/>
      </patternFill>
    </fill>
    <fill>
      <patternFill patternType="solid">
        <fgColor theme="3"/>
        <bgColor indexed="64"/>
      </patternFill>
    </fill>
    <fill>
      <patternFill patternType="solid">
        <fgColor rgb="FFACB9CA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rgb="FF757171"/>
      </bottom>
      <diagonal/>
    </border>
    <border>
      <left/>
      <right/>
      <top/>
      <bottom style="thin">
        <color rgb="FF757171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/>
      <right style="thin">
        <color rgb="FF757171"/>
      </right>
      <top style="thin">
        <color rgb="FF757171"/>
      </top>
      <bottom style="thin">
        <color rgb="FF757171"/>
      </bottom>
      <diagonal/>
    </border>
    <border>
      <left/>
      <right style="thin">
        <color rgb="FF757171"/>
      </right>
      <top/>
      <bottom style="thin">
        <color rgb="FF757171"/>
      </bottom>
      <diagonal/>
    </border>
    <border>
      <left/>
      <right style="thin">
        <color rgb="FF757171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0" fontId="35" fillId="0" borderId="0"/>
  </cellStyleXfs>
  <cellXfs count="204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8" fillId="7" borderId="0" xfId="5" applyFill="1" applyAlignment="1" applyProtection="1">
      <alignment vertical="center" wrapText="1"/>
      <protection locked="0"/>
    </xf>
    <xf numFmtId="0" fontId="4" fillId="0" borderId="15" xfId="0" applyFont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25" fillId="0" borderId="0" xfId="0" applyFont="1"/>
    <xf numFmtId="0" fontId="26" fillId="14" borderId="20" xfId="0" applyFont="1" applyFill="1" applyBorder="1"/>
    <xf numFmtId="0" fontId="26" fillId="14" borderId="20" xfId="0" applyFont="1" applyFill="1" applyBorder="1" applyAlignment="1">
      <alignment wrapText="1"/>
    </xf>
    <xf numFmtId="0" fontId="25" fillId="0" borderId="21" xfId="0" applyFont="1" applyBorder="1"/>
    <xf numFmtId="15" fontId="27" fillId="14" borderId="20" xfId="0" applyNumberFormat="1" applyFont="1" applyFill="1" applyBorder="1" applyAlignment="1">
      <alignment horizontal="center" vertical="center"/>
    </xf>
    <xf numFmtId="0" fontId="11" fillId="13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8" fillId="7" borderId="0" xfId="5" applyFill="1" applyAlignment="1" applyProtection="1">
      <alignment horizontal="center" vertical="center" wrapText="1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18" fillId="0" borderId="12" xfId="0" applyFont="1" applyBorder="1" applyProtection="1">
      <protection locked="0"/>
    </xf>
    <xf numFmtId="0" fontId="8" fillId="7" borderId="0" xfId="0" applyFont="1" applyFill="1" applyAlignment="1" applyProtection="1">
      <alignment vertical="center"/>
      <protection locked="0"/>
    </xf>
    <xf numFmtId="0" fontId="12" fillId="7" borderId="12" xfId="0" applyFont="1" applyFill="1" applyBorder="1" applyProtection="1">
      <protection locked="0"/>
    </xf>
    <xf numFmtId="0" fontId="19" fillId="7" borderId="0" xfId="0" applyFont="1" applyFill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top"/>
      <protection locked="0"/>
    </xf>
    <xf numFmtId="0" fontId="18" fillId="0" borderId="13" xfId="0" applyFont="1" applyBorder="1" applyAlignment="1" applyProtection="1">
      <alignment vertical="top"/>
      <protection locked="0"/>
    </xf>
    <xf numFmtId="0" fontId="12" fillId="7" borderId="13" xfId="0" applyFont="1" applyFill="1" applyBorder="1" applyProtection="1">
      <protection locked="0"/>
    </xf>
    <xf numFmtId="0" fontId="22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1" fontId="4" fillId="15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wrapText="1"/>
      <protection hidden="1"/>
    </xf>
    <xf numFmtId="0" fontId="0" fillId="12" borderId="30" xfId="0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locked="0"/>
    </xf>
    <xf numFmtId="0" fontId="4" fillId="2" borderId="30" xfId="0" applyFont="1" applyFill="1" applyBorder="1" applyAlignment="1" applyProtection="1">
      <alignment horizontal="center" vertical="center"/>
      <protection locked="0"/>
    </xf>
    <xf numFmtId="0" fontId="5" fillId="2" borderId="30" xfId="0" applyFon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1" fontId="0" fillId="2" borderId="30" xfId="0" applyNumberFormat="1" applyFill="1" applyBorder="1" applyAlignment="1" applyProtection="1">
      <alignment horizontal="center" vertical="center"/>
      <protection locked="0"/>
    </xf>
    <xf numFmtId="165" fontId="0" fillId="0" borderId="29" xfId="0" applyNumberFormat="1" applyBorder="1" applyAlignment="1" applyProtection="1">
      <alignment horizontal="center" vertical="center"/>
      <protection hidden="1"/>
    </xf>
    <xf numFmtId="165" fontId="4" fillId="0" borderId="2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4" fontId="0" fillId="2" borderId="30" xfId="0" applyNumberFormat="1" applyFill="1" applyBorder="1" applyAlignment="1" applyProtection="1">
      <alignment horizontal="center" vertical="center" wrapText="1"/>
      <protection locked="0"/>
    </xf>
    <xf numFmtId="0" fontId="4" fillId="2" borderId="29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3" fillId="11" borderId="35" xfId="5" applyFont="1" applyFill="1" applyBorder="1" applyAlignment="1" applyProtection="1">
      <alignment horizontal="center" vertical="center" wrapText="1"/>
      <protection locked="0"/>
    </xf>
    <xf numFmtId="0" fontId="13" fillId="11" borderId="37" xfId="5" applyFont="1" applyFill="1" applyBorder="1" applyAlignment="1" applyProtection="1">
      <alignment horizontal="center" vertical="center" wrapText="1"/>
      <protection locked="0"/>
    </xf>
    <xf numFmtId="0" fontId="17" fillId="0" borderId="32" xfId="5" applyFont="1" applyBorder="1" applyAlignment="1" applyProtection="1">
      <alignment horizontal="left" vertical="center" wrapText="1" indent="1"/>
      <protection locked="0"/>
    </xf>
    <xf numFmtId="9" fontId="17" fillId="2" borderId="33" xfId="1" applyFont="1" applyFill="1" applyBorder="1" applyAlignment="1" applyProtection="1">
      <alignment horizontal="center" vertical="center" wrapText="1"/>
      <protection locked="0"/>
    </xf>
    <xf numFmtId="0" fontId="16" fillId="11" borderId="34" xfId="5" applyFont="1" applyFill="1" applyBorder="1" applyAlignment="1" applyProtection="1">
      <alignment horizontal="left" vertical="center" wrapText="1" indent="1"/>
      <protection locked="0"/>
    </xf>
    <xf numFmtId="9" fontId="23" fillId="11" borderId="36" xfId="1" applyFont="1" applyFill="1" applyBorder="1" applyAlignment="1" applyProtection="1">
      <alignment horizontal="center" vertical="center" wrapText="1"/>
      <protection hidden="1"/>
    </xf>
    <xf numFmtId="0" fontId="4" fillId="7" borderId="0" xfId="0" applyFont="1" applyFill="1" applyAlignment="1" applyProtection="1">
      <alignment horizontal="left" vertical="center"/>
      <protection locked="0"/>
    </xf>
    <xf numFmtId="1" fontId="20" fillId="9" borderId="30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30" xfId="0" applyFont="1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left" vertical="center"/>
      <protection locked="0"/>
    </xf>
    <xf numFmtId="0" fontId="4" fillId="6" borderId="29" xfId="0" applyFont="1" applyFill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6" borderId="29" xfId="0" applyFill="1" applyBorder="1" applyAlignment="1" applyProtection="1">
      <alignment vertical="center"/>
      <protection locked="0"/>
    </xf>
    <xf numFmtId="0" fontId="4" fillId="15" borderId="30" xfId="0" applyFont="1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vertical="center" wrapText="1"/>
      <protection locked="0"/>
    </xf>
    <xf numFmtId="0" fontId="4" fillId="15" borderId="30" xfId="0" applyFont="1" applyFill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6" fillId="15" borderId="30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Protection="1">
      <protection locked="0"/>
    </xf>
    <xf numFmtId="0" fontId="0" fillId="12" borderId="30" xfId="0" applyFill="1" applyBorder="1" applyProtection="1">
      <protection locked="0"/>
    </xf>
    <xf numFmtId="0" fontId="30" fillId="15" borderId="2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1" fontId="32" fillId="16" borderId="30" xfId="0" applyNumberFormat="1" applyFont="1" applyFill="1" applyBorder="1" applyAlignment="1" applyProtection="1">
      <alignment horizontal="center" vertical="center" wrapText="1"/>
      <protection locked="0"/>
    </xf>
    <xf numFmtId="1" fontId="20" fillId="0" borderId="0" xfId="0" applyNumberFormat="1" applyFont="1" applyAlignment="1" applyProtection="1">
      <alignment horizontal="center" vertical="center" wrapText="1"/>
      <protection locked="0"/>
    </xf>
    <xf numFmtId="1" fontId="4" fillId="0" borderId="29" xfId="0" applyNumberFormat="1" applyFont="1" applyBorder="1" applyAlignment="1" applyProtection="1">
      <alignment horizontal="center" vertical="center"/>
      <protection hidden="1"/>
    </xf>
    <xf numFmtId="1" fontId="33" fillId="0" borderId="29" xfId="0" applyNumberFormat="1" applyFont="1" applyBorder="1" applyAlignment="1" applyProtection="1">
      <alignment horizontal="center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35" fillId="0" borderId="0" xfId="7"/>
    <xf numFmtId="0" fontId="38" fillId="0" borderId="41" xfId="7" applyFont="1" applyBorder="1" applyAlignment="1">
      <alignment wrapText="1"/>
    </xf>
    <xf numFmtId="0" fontId="38" fillId="0" borderId="0" xfId="7" applyFont="1" applyAlignment="1">
      <alignment wrapText="1"/>
    </xf>
    <xf numFmtId="0" fontId="38" fillId="0" borderId="0" xfId="7" applyFont="1" applyAlignment="1">
      <alignment horizontal="left" wrapText="1"/>
    </xf>
    <xf numFmtId="0" fontId="19" fillId="0" borderId="41" xfId="7" applyFont="1" applyBorder="1" applyAlignment="1">
      <alignment vertical="center" wrapText="1"/>
    </xf>
    <xf numFmtId="0" fontId="19" fillId="0" borderId="0" xfId="7" applyFont="1" applyAlignment="1">
      <alignment vertical="center" wrapText="1"/>
    </xf>
    <xf numFmtId="0" fontId="19" fillId="0" borderId="0" xfId="7" applyFont="1" applyAlignment="1">
      <alignment horizontal="left" vertical="center" wrapText="1"/>
    </xf>
    <xf numFmtId="0" fontId="9" fillId="0" borderId="0" xfId="7" applyFont="1" applyAlignment="1">
      <alignment horizontal="left"/>
    </xf>
    <xf numFmtId="0" fontId="39" fillId="0" borderId="41" xfId="7" applyFont="1" applyBorder="1" applyAlignment="1">
      <alignment horizontal="center"/>
    </xf>
    <xf numFmtId="0" fontId="39" fillId="17" borderId="40" xfId="7" applyFont="1" applyFill="1" applyBorder="1" applyAlignment="1">
      <alignment horizontal="center"/>
    </xf>
    <xf numFmtId="0" fontId="40" fillId="0" borderId="42" xfId="7" applyFont="1" applyBorder="1" applyAlignment="1">
      <alignment horizontal="left" vertical="top" wrapText="1"/>
    </xf>
    <xf numFmtId="0" fontId="41" fillId="0" borderId="42" xfId="7" applyFont="1" applyBorder="1" applyAlignment="1">
      <alignment horizontal="center" vertical="center" wrapText="1"/>
    </xf>
    <xf numFmtId="0" fontId="41" fillId="0" borderId="41" xfId="7" applyFont="1" applyBorder="1" applyAlignment="1">
      <alignment horizontal="center" vertical="center" wrapText="1"/>
    </xf>
    <xf numFmtId="0" fontId="42" fillId="0" borderId="0" xfId="7" applyFont="1" applyAlignment="1">
      <alignment vertical="center" wrapText="1"/>
    </xf>
    <xf numFmtId="0" fontId="43" fillId="0" borderId="41" xfId="7" applyFont="1" applyBorder="1" applyAlignment="1">
      <alignment horizontal="center" vertical="center" wrapText="1"/>
    </xf>
    <xf numFmtId="0" fontId="43" fillId="0" borderId="40" xfId="7" applyFont="1" applyBorder="1" applyAlignment="1">
      <alignment horizontal="center" vertical="center" wrapText="1"/>
    </xf>
    <xf numFmtId="0" fontId="44" fillId="0" borderId="42" xfId="7" applyFont="1" applyBorder="1" applyAlignment="1">
      <alignment horizontal="left" vertical="top" wrapText="1"/>
    </xf>
    <xf numFmtId="0" fontId="45" fillId="0" borderId="41" xfId="7" applyFont="1" applyBorder="1" applyAlignment="1">
      <alignment horizontal="center" vertical="center" wrapText="1"/>
    </xf>
    <xf numFmtId="0" fontId="46" fillId="0" borderId="0" xfId="7" applyFont="1" applyAlignment="1">
      <alignment vertical="center" wrapText="1"/>
    </xf>
    <xf numFmtId="0" fontId="41" fillId="0" borderId="40" xfId="7" applyFont="1" applyBorder="1" applyAlignment="1">
      <alignment horizontal="center" vertical="center" wrapText="1"/>
    </xf>
    <xf numFmtId="0" fontId="47" fillId="0" borderId="0" xfId="7" applyFont="1" applyAlignment="1">
      <alignment vertical="center" wrapText="1"/>
    </xf>
    <xf numFmtId="0" fontId="48" fillId="0" borderId="0" xfId="7" applyFont="1" applyAlignment="1">
      <alignment vertical="center" wrapText="1"/>
    </xf>
    <xf numFmtId="0" fontId="41" fillId="0" borderId="2" xfId="7" applyFont="1" applyBorder="1" applyAlignment="1">
      <alignment horizontal="center" vertical="center" wrapText="1"/>
    </xf>
    <xf numFmtId="0" fontId="49" fillId="0" borderId="0" xfId="7" applyFont="1"/>
    <xf numFmtId="0" fontId="41" fillId="0" borderId="7" xfId="7" applyFont="1" applyBorder="1" applyAlignment="1">
      <alignment horizontal="center" vertical="center" wrapText="1"/>
    </xf>
    <xf numFmtId="0" fontId="36" fillId="0" borderId="43" xfId="7" applyFont="1" applyBorder="1" applyAlignment="1">
      <alignment horizontal="left" vertical="center" wrapText="1"/>
    </xf>
    <xf numFmtId="0" fontId="41" fillId="0" borderId="43" xfId="7" applyFont="1" applyBorder="1" applyAlignment="1">
      <alignment horizontal="center" vertical="center" wrapText="1"/>
    </xf>
    <xf numFmtId="0" fontId="19" fillId="0" borderId="0" xfId="7" applyFont="1" applyAlignment="1">
      <alignment wrapText="1"/>
    </xf>
    <xf numFmtId="0" fontId="19" fillId="0" borderId="0" xfId="7" applyFont="1" applyAlignment="1">
      <alignment horizontal="center" wrapText="1"/>
    </xf>
    <xf numFmtId="0" fontId="50" fillId="4" borderId="41" xfId="7" applyFont="1" applyFill="1" applyBorder="1" applyAlignment="1">
      <alignment horizontal="center" vertical="center" wrapText="1"/>
    </xf>
    <xf numFmtId="0" fontId="51" fillId="4" borderId="41" xfId="7" applyFont="1" applyFill="1" applyBorder="1" applyAlignment="1">
      <alignment horizontal="center" vertical="center" wrapText="1"/>
    </xf>
    <xf numFmtId="0" fontId="50" fillId="4" borderId="42" xfId="7" applyFont="1" applyFill="1" applyBorder="1" applyAlignment="1">
      <alignment horizontal="center" vertical="center" wrapText="1"/>
    </xf>
    <xf numFmtId="0" fontId="9" fillId="0" borderId="41" xfId="0" applyFont="1" applyBorder="1"/>
    <xf numFmtId="0" fontId="52" fillId="18" borderId="41" xfId="0" applyFont="1" applyFill="1" applyBorder="1" applyAlignment="1">
      <alignment horizontal="center" vertical="center" wrapText="1"/>
    </xf>
    <xf numFmtId="0" fontId="9" fillId="0" borderId="0" xfId="0" applyFont="1"/>
    <xf numFmtId="0" fontId="14" fillId="19" borderId="41" xfId="0" applyFont="1" applyFill="1" applyBorder="1" applyAlignment="1">
      <alignment horizontal="center" wrapText="1"/>
    </xf>
    <xf numFmtId="0" fontId="14" fillId="19" borderId="41" xfId="0" applyFont="1" applyFill="1" applyBorder="1" applyAlignment="1">
      <alignment vertical="top"/>
    </xf>
    <xf numFmtId="0" fontId="53" fillId="19" borderId="41" xfId="0" applyFont="1" applyFill="1" applyBorder="1" applyAlignment="1">
      <alignment horizontal="center"/>
    </xf>
    <xf numFmtId="0" fontId="14" fillId="19" borderId="41" xfId="0" applyFont="1" applyFill="1" applyBorder="1"/>
    <xf numFmtId="0" fontId="9" fillId="0" borderId="42" xfId="0" applyFont="1" applyBorder="1"/>
    <xf numFmtId="0" fontId="9" fillId="0" borderId="41" xfId="0" applyFont="1" applyBorder="1" applyAlignment="1">
      <alignment vertical="top"/>
    </xf>
    <xf numFmtId="0" fontId="14" fillId="19" borderId="41" xfId="0" applyFont="1" applyFill="1" applyBorder="1" applyAlignment="1">
      <alignment horizontal="center" vertical="center"/>
    </xf>
    <xf numFmtId="0" fontId="14" fillId="19" borderId="41" xfId="0" applyFont="1" applyFill="1" applyBorder="1" applyAlignment="1">
      <alignment horizontal="center" vertical="top"/>
    </xf>
    <xf numFmtId="0" fontId="53" fillId="19" borderId="41" xfId="0" applyFont="1" applyFill="1" applyBorder="1" applyAlignment="1">
      <alignment horizontal="center" vertical="top"/>
    </xf>
    <xf numFmtId="0" fontId="9" fillId="19" borderId="41" xfId="0" applyFont="1" applyFill="1" applyBorder="1" applyAlignment="1">
      <alignment horizontal="center" vertical="top"/>
    </xf>
    <xf numFmtId="0" fontId="14" fillId="19" borderId="41" xfId="0" applyFont="1" applyFill="1" applyBorder="1" applyAlignment="1">
      <alignment horizontal="center"/>
    </xf>
    <xf numFmtId="0" fontId="9" fillId="19" borderId="41" xfId="0" applyFont="1" applyFill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2" fillId="18" borderId="42" xfId="0" applyFont="1" applyFill="1" applyBorder="1" applyAlignment="1">
      <alignment horizontal="center" vertical="center" wrapText="1"/>
    </xf>
    <xf numFmtId="0" fontId="14" fillId="19" borderId="42" xfId="0" applyFont="1" applyFill="1" applyBorder="1" applyAlignment="1">
      <alignment horizontal="center" wrapText="1"/>
    </xf>
    <xf numFmtId="0" fontId="4" fillId="0" borderId="0" xfId="0" applyFont="1" applyAlignment="1">
      <alignment horizontal="center" vertical="center"/>
    </xf>
    <xf numFmtId="0" fontId="0" fillId="5" borderId="1" xfId="0" applyFill="1" applyBorder="1"/>
    <xf numFmtId="0" fontId="9" fillId="0" borderId="1" xfId="0" applyFont="1" applyBorder="1" applyAlignment="1">
      <alignment vertical="center"/>
    </xf>
    <xf numFmtId="0" fontId="9" fillId="0" borderId="1" xfId="0" applyFont="1" applyBorder="1"/>
    <xf numFmtId="0" fontId="4" fillId="5" borderId="48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vertical="center"/>
    </xf>
    <xf numFmtId="0" fontId="9" fillId="5" borderId="49" xfId="0" applyFont="1" applyFill="1" applyBorder="1"/>
    <xf numFmtId="0" fontId="9" fillId="5" borderId="50" xfId="0" applyFont="1" applyFill="1" applyBorder="1" applyAlignment="1">
      <alignment vertical="center"/>
    </xf>
    <xf numFmtId="0" fontId="0" fillId="0" borderId="51" xfId="0" applyBorder="1"/>
    <xf numFmtId="0" fontId="4" fillId="0" borderId="51" xfId="0" applyFont="1" applyBorder="1" applyAlignment="1">
      <alignment horizontal="center" vertical="center"/>
    </xf>
    <xf numFmtId="0" fontId="4" fillId="5" borderId="52" xfId="0" applyFont="1" applyFill="1" applyBorder="1" applyAlignment="1">
      <alignment horizontal="center" vertical="center"/>
    </xf>
    <xf numFmtId="0" fontId="0" fillId="5" borderId="53" xfId="0" applyFill="1" applyBorder="1"/>
    <xf numFmtId="0" fontId="0" fillId="0" borderId="51" xfId="0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>
      <alignment wrapText="1"/>
    </xf>
    <xf numFmtId="14" fontId="1" fillId="2" borderId="29" xfId="0" applyNumberFormat="1" applyFont="1" applyFill="1" applyBorder="1" applyAlignment="1" applyProtection="1">
      <alignment horizontal="center" vertical="center"/>
      <protection locked="0"/>
    </xf>
    <xf numFmtId="0" fontId="23" fillId="11" borderId="29" xfId="5" applyFont="1" applyFill="1" applyBorder="1" applyAlignment="1" applyProtection="1">
      <alignment horizontal="center" vertical="center" wrapText="1"/>
      <protection locked="0"/>
    </xf>
    <xf numFmtId="0" fontId="19" fillId="0" borderId="0" xfId="7" applyFont="1" applyAlignment="1">
      <alignment horizontal="center" wrapText="1"/>
    </xf>
    <xf numFmtId="0" fontId="35" fillId="0" borderId="0" xfId="7" applyAlignment="1"/>
    <xf numFmtId="0" fontId="36" fillId="0" borderId="3" xfId="7" applyFont="1" applyBorder="1" applyAlignment="1">
      <alignment horizontal="center" vertical="center" wrapText="1"/>
    </xf>
    <xf numFmtId="0" fontId="37" fillId="0" borderId="4" xfId="7" applyFont="1" applyBorder="1" applyAlignment="1"/>
    <xf numFmtId="0" fontId="37" fillId="0" borderId="5" xfId="7" applyFont="1" applyBorder="1" applyAlignment="1"/>
    <xf numFmtId="0" fontId="37" fillId="0" borderId="6" xfId="7" applyFont="1" applyBorder="1" applyAlignment="1"/>
    <xf numFmtId="0" fontId="37" fillId="0" borderId="7" xfId="7" applyFont="1" applyBorder="1" applyAlignment="1"/>
    <xf numFmtId="0" fontId="37" fillId="0" borderId="38" xfId="7" applyFont="1" applyBorder="1" applyAlignment="1"/>
    <xf numFmtId="0" fontId="37" fillId="0" borderId="39" xfId="7" applyFont="1" applyBorder="1" applyAlignment="1"/>
    <xf numFmtId="0" fontId="37" fillId="0" borderId="40" xfId="7" applyFont="1" applyBorder="1" applyAlignment="1"/>
    <xf numFmtId="0" fontId="22" fillId="11" borderId="0" xfId="0" applyFont="1" applyFill="1" applyAlignment="1" applyProtection="1">
      <alignment horizontal="center" vertical="center"/>
      <protection locked="0"/>
    </xf>
    <xf numFmtId="49" fontId="0" fillId="2" borderId="30" xfId="0" applyNumberFormat="1" applyFill="1" applyBorder="1" applyAlignment="1" applyProtection="1">
      <alignment horizontal="left" vertical="top" wrapText="1"/>
      <protection locked="0"/>
    </xf>
    <xf numFmtId="0" fontId="4" fillId="15" borderId="3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1" fillId="3" borderId="10" xfId="0" applyFont="1" applyFill="1" applyBorder="1" applyAlignment="1" applyProtection="1">
      <alignment horizontal="center" vertical="center"/>
      <protection locked="0"/>
    </xf>
    <xf numFmtId="0" fontId="31" fillId="3" borderId="14" xfId="0" applyFont="1" applyFill="1" applyBorder="1" applyAlignment="1" applyProtection="1">
      <alignment horizontal="center" vertical="center"/>
      <protection locked="0"/>
    </xf>
    <xf numFmtId="1" fontId="0" fillId="2" borderId="30" xfId="0" applyNumberFormat="1" applyFill="1" applyBorder="1" applyAlignment="1" applyProtection="1">
      <alignment horizontal="left" vertical="top" wrapText="1"/>
      <protection locked="0"/>
    </xf>
    <xf numFmtId="0" fontId="22" fillId="10" borderId="30" xfId="0" applyFont="1" applyFill="1" applyBorder="1" applyAlignment="1" applyProtection="1">
      <alignment horizontal="center" vertical="center"/>
      <protection locked="0"/>
    </xf>
    <xf numFmtId="0" fontId="22" fillId="10" borderId="31" xfId="0" applyFont="1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30" fillId="6" borderId="23" xfId="0" applyFont="1" applyFill="1" applyBorder="1" applyAlignment="1" applyProtection="1">
      <alignment horizontal="center" vertical="center"/>
      <protection locked="0"/>
    </xf>
    <xf numFmtId="0" fontId="30" fillId="6" borderId="25" xfId="0" applyFont="1" applyFill="1" applyBorder="1" applyAlignment="1" applyProtection="1">
      <alignment horizontal="center" vertical="center"/>
      <protection locked="0"/>
    </xf>
    <xf numFmtId="0" fontId="30" fillId="6" borderId="26" xfId="0" applyFont="1" applyFill="1" applyBorder="1" applyAlignment="1" applyProtection="1">
      <alignment horizontal="center" vertical="center"/>
      <protection locked="0"/>
    </xf>
    <xf numFmtId="0" fontId="52" fillId="18" borderId="45" xfId="0" applyFont="1" applyFill="1" applyBorder="1" applyAlignment="1">
      <alignment horizontal="center" vertical="center" wrapText="1"/>
    </xf>
    <xf numFmtId="0" fontId="8" fillId="0" borderId="43" xfId="0" applyFont="1" applyBorder="1" applyAlignment="1"/>
    <xf numFmtId="0" fontId="50" fillId="18" borderId="46" xfId="0" applyFont="1" applyFill="1" applyBorder="1" applyAlignment="1">
      <alignment horizontal="center" vertical="center" wrapText="1"/>
    </xf>
    <xf numFmtId="0" fontId="8" fillId="0" borderId="47" xfId="0" applyFont="1" applyBorder="1" applyAlignment="1"/>
    <xf numFmtId="0" fontId="8" fillId="0" borderId="42" xfId="0" applyFont="1" applyBorder="1" applyAlignment="1"/>
    <xf numFmtId="0" fontId="26" fillId="14" borderId="18" xfId="0" applyFont="1" applyFill="1" applyBorder="1" applyAlignment="1">
      <alignment horizontal="center" wrapText="1"/>
    </xf>
    <xf numFmtId="0" fontId="26" fillId="14" borderId="19" xfId="0" applyFont="1" applyFill="1" applyBorder="1" applyAlignment="1">
      <alignment horizontal="center" wrapText="1"/>
    </xf>
    <xf numFmtId="0" fontId="28" fillId="8" borderId="11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8" fillId="8" borderId="22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 wrapText="1"/>
    </xf>
    <xf numFmtId="0" fontId="11" fillId="13" borderId="19" xfId="0" applyFont="1" applyFill="1" applyBorder="1" applyAlignment="1">
      <alignment horizontal="center" vertical="center" wrapText="1"/>
    </xf>
    <xf numFmtId="0" fontId="25" fillId="0" borderId="17" xfId="0" applyFont="1" applyBorder="1" applyAlignment="1"/>
    <xf numFmtId="0" fontId="25" fillId="0" borderId="16" xfId="0" applyFont="1" applyBorder="1" applyAlignment="1"/>
    <xf numFmtId="0" fontId="54" fillId="21" borderId="2" xfId="0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14" fontId="0" fillId="0" borderId="44" xfId="0" applyNumberFormat="1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34" fillId="0" borderId="0" xfId="0" applyFont="1" applyBorder="1" applyAlignment="1">
      <alignment horizontal="center" vertical="center" wrapText="1"/>
    </xf>
    <xf numFmtId="0" fontId="5" fillId="20" borderId="2" xfId="0" applyFont="1" applyFill="1" applyBorder="1" applyAlignment="1">
      <alignment horizontal="center" wrapText="1"/>
    </xf>
    <xf numFmtId="0" fontId="5" fillId="20" borderId="2" xfId="0" applyFont="1" applyFill="1" applyBorder="1" applyAlignment="1">
      <alignment horizontal="center" wrapText="1"/>
    </xf>
  </cellXfs>
  <cellStyles count="8">
    <cellStyle name="Millares 2" xfId="3" xr:uid="{00000000-0005-0000-0000-000003000000}"/>
    <cellStyle name="Normal" xfId="0" builtinId="0"/>
    <cellStyle name="Normal 2" xfId="7" xr:uid="{87C4F831-F4C9-4BB2-B034-0040FAFE7F78}"/>
    <cellStyle name="Normal 4" xfId="5" xr:uid="{00000000-0005-0000-0000-000006000000}"/>
    <cellStyle name="Porcentaje" xfId="1" builtinId="5"/>
    <cellStyle name="Porcentaje 2" xfId="2" xr:uid="{00000000-0005-0000-0000-000008000000}"/>
    <cellStyle name="Porcentaje 2 2" xfId="6" xr:uid="{00000000-0005-0000-0000-000009000000}"/>
    <cellStyle name="Texto de advertencia 2" xfId="4" xr:uid="{00000000-0005-0000-0000-00000A000000}"/>
  </cellStyles>
  <dxfs count="35">
    <dxf>
      <font>
        <color theme="1"/>
      </font>
      <fill>
        <patternFill>
          <bgColor theme="5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167" formatCode="d/mm/h:mm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</dxfs>
  <tableStyles count="1" defaultTableStyle="TableStyleMedium2" defaultPivotStyle="PivotStyleLight16">
    <tableStyle name="Estimación CP a diseñar-style" pivot="0" count="3" xr9:uid="{0F1B399F-C7A8-45B3-B92C-30A47ED47B17}">
      <tableStyleElement type="headerRow" dxfId="34"/>
      <tableStyleElement type="firstRowStripe" dxfId="33"/>
      <tableStyleElement type="second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142875</xdr:rowOff>
    </xdr:from>
    <xdr:to>
      <xdr:col>2</xdr:col>
      <xdr:colOff>510426</xdr:colOff>
      <xdr:row>4</xdr:row>
      <xdr:rowOff>44992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142875"/>
          <a:ext cx="1901076" cy="70221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scar Francisco Padilla Martinez" id="{E2F7C786-E8D2-4DC6-ABC7-BFA499013112}" userId="S::opadillam@choucairtesting.com::eec23794-2913-4cc4-bac5-e1226a225ab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car Francisco Padilla Martinez" refreshedDate="45253.760716203702" createdVersion="8" refreshedVersion="8" minRefreshableVersion="3" recordCount="112" xr:uid="{3E81284D-B4F6-4B59-8308-63D24BA79106}">
  <cacheSource type="worksheet">
    <worksheetSource ref="B7:AA119" sheet="Set de pruebas"/>
  </cacheSource>
  <cacheFields count="26">
    <cacheField name="Fecha Creación o Modificación del Caso" numFmtId="14">
      <sharedItems containsSemiMixedTypes="0" containsNonDate="0" containsDate="1" containsString="0" minDate="2023-11-10T00:00:00" maxDate="2024-02-01T00:00:00"/>
    </cacheField>
    <cacheField name="Caso Reutilizado" numFmtId="0">
      <sharedItems/>
    </cacheField>
    <cacheField name="Asignado" numFmtId="0">
      <sharedItems/>
    </cacheField>
    <cacheField name="Id CP" numFmtId="1">
      <sharedItems containsMixedTypes="1" containsNumber="1" containsInteger="1" minValue="0" maxValue="0"/>
    </cacheField>
    <cacheField name="Prioridad" numFmtId="1">
      <sharedItems containsMixedTypes="1" containsNumber="1" containsInteger="1" minValue="0" maxValue="0"/>
    </cacheField>
    <cacheField name="Clasificación" numFmtId="0">
      <sharedItems containsMixedTypes="1" containsNumber="1" containsInteger="1" minValue="0" maxValue="0"/>
    </cacheField>
    <cacheField name="Canal/Funcionalidad/HU" numFmtId="0">
      <sharedItems containsMixedTypes="1" containsNumber="1" containsInteger="1" minValue="0" maxValue="0" count="5">
        <s v="Portal Web Banca Empresas"/>
        <s v="Configuración débito automático"/>
        <s v="HU549Transferencias a terceros"/>
        <s v="HU548Transferencias propias"/>
        <n v="0"/>
      </sharedItems>
    </cacheField>
    <cacheField name="Nombre Caso de Prueba" numFmtId="0">
      <sharedItems containsMixedTypes="1" containsNumber="1" containsInteger="1" minValue="0" maxValue="0"/>
    </cacheField>
    <cacheField name="Descripción Caso Prueba" numFmtId="0">
      <sharedItems containsBlank="1" longText="1"/>
    </cacheField>
    <cacheField name="Precondiciones" numFmtId="0">
      <sharedItems containsBlank="1"/>
    </cacheField>
    <cacheField name="Paso a Paso" numFmtId="0">
      <sharedItems containsBlank="1" longText="1"/>
    </cacheField>
    <cacheField name="Resultado Esperado" numFmtId="0">
      <sharedItems/>
    </cacheField>
    <cacheField name="Estado C1" numFmtId="0">
      <sharedItems containsNonDate="0" containsBlank="1" count="8">
        <m/>
        <s v="EXITOSO" u="1"/>
        <s v="FALLIDO" u="1"/>
        <s v="BLOQUEADO" u="1"/>
        <s v="APAGADO" u="1"/>
        <s v="APAGADOS" u="1"/>
        <s v="DESESTIMADO" u="1"/>
        <s v="PENDIENTE" u="1"/>
      </sharedItems>
    </cacheField>
    <cacheField name="ID Bug" numFmtId="0">
      <sharedItems containsString="0" containsBlank="1" containsNumber="1" containsInteger="1" minValue="78426" maxValue="457852"/>
    </cacheField>
    <cacheField name="Comentario" numFmtId="166">
      <sharedItems containsBlank="1"/>
    </cacheField>
    <cacheField name="Fecha Ejecución" numFmtId="0">
      <sharedItems containsNonDate="0" containsDate="1" containsString="0" containsBlank="1" minDate="2023-11-10T00:00:00" maxDate="2023-11-13T00:00:00"/>
    </cacheField>
    <cacheField name="Estado R1" numFmtId="0">
      <sharedItems containsNonDate="0" containsString="0" containsBlank="1"/>
    </cacheField>
    <cacheField name="ID Bug2" numFmtId="3">
      <sharedItems containsNonDate="0" containsString="0" containsBlank="1"/>
    </cacheField>
    <cacheField name="Fecha Retest 1" numFmtId="0">
      <sharedItems containsNonDate="0" containsString="0" containsBlank="1"/>
    </cacheField>
    <cacheField name="Estado R2" numFmtId="0">
      <sharedItems containsNonDate="0" containsString="0" containsBlank="1"/>
    </cacheField>
    <cacheField name="ID Bug3" numFmtId="0">
      <sharedItems containsNonDate="0" containsString="0" containsBlank="1"/>
    </cacheField>
    <cacheField name="Fecha Retest 2" numFmtId="0">
      <sharedItems containsNonDate="0" containsString="0" containsBlank="1"/>
    </cacheField>
    <cacheField name="Estado R3" numFmtId="0">
      <sharedItems containsNonDate="0" containsString="0" containsBlank="1"/>
    </cacheField>
    <cacheField name="ID Bug4" numFmtId="0">
      <sharedItems containsNonDate="0" containsString="0" containsBlank="1"/>
    </cacheField>
    <cacheField name="Fecha Retest 3" numFmtId="0">
      <sharedItems containsNonDate="0" containsString="0" containsBlank="1"/>
    </cacheField>
    <cacheField name="Ruta y Nombre del 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d v="2023-11-10T00:00:00"/>
    <s v="NO"/>
    <s v="Jaime Alberto Casas Barrera"/>
    <s v="CP001"/>
    <s v="Alto"/>
    <s v="FUNCIONALIDAD"/>
    <x v="0"/>
    <s v="Realizar pago a proveedores"/>
    <s v="Verificar que se permita realizar la oferta de la tarjeat de creditol.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generar ofecta a cliente  ofreciendole una TC"/>
    <x v="0"/>
    <m/>
    <m/>
    <m/>
    <m/>
    <m/>
    <m/>
    <m/>
    <m/>
    <m/>
    <m/>
    <m/>
    <m/>
    <s v="Evidencia"/>
  </r>
  <r>
    <d v="2023-11-10T00:00:00"/>
    <s v="NO"/>
    <s v="Jaime Alberto Casas Barrera"/>
    <s v="CP002"/>
    <s v="Alto"/>
    <s v="FUNCIONALIDAD"/>
    <x v="1"/>
    <s v="Realizar la configuración de servicio público para DA"/>
    <s v="se revisa que el cliente no esté en listas restrictivas, pero en los días transcurridos de consulta, alistamiento y cargue puede que el cliente entre a listas restrictivas sin antes haber estado por lo que se debe volver a consultar. "/>
    <s v="Cargar Campañas"/>
    <s v="1. Ingresar al aplicativo con tipo de identificación CC._x000a_2 informacion del cliente,_x000a_"/>
    <s v="Que el cliente no esté en listas restrictivas,"/>
    <x v="0"/>
    <m/>
    <m/>
    <m/>
    <m/>
    <m/>
    <m/>
    <m/>
    <m/>
    <m/>
    <m/>
    <m/>
    <m/>
    <s v="Evidencia"/>
  </r>
  <r>
    <d v="2023-11-10T00:00:00"/>
    <s v="NO"/>
    <s v="Jaime Alberto Casas Barrera"/>
    <s v="CP003"/>
    <s v="Alto"/>
    <s v="AJUSTE"/>
    <x v="2"/>
    <s v="Revisar aplicación de créditos y débitos"/>
    <s v="Mostrar directamente / persona naturales"/>
    <s v="Usuario con caracteristica de Proveedor"/>
    <s v="1. Ingresar al aplicativo con tipo de identificación CC._x000a_2. Ingresar directamente a con  a personas naturales no mostrar vista 360_x000a_"/>
    <s v="Para el proveedor ingresar directamente Pestaña personas Naturales no mostrar vista 360"/>
    <x v="0"/>
    <n v="457852"/>
    <s v="No permite ingresar a la pestaña presenta error 587"/>
    <d v="2023-11-10T00:00:00"/>
    <m/>
    <m/>
    <m/>
    <m/>
    <m/>
    <m/>
    <m/>
    <m/>
    <m/>
    <s v="Evidencia"/>
  </r>
  <r>
    <d v="2023-11-10T00:00:00"/>
    <s v="NO"/>
    <s v="Jaime Alberto Casas Barrera"/>
    <s v="CP004"/>
    <s v="Alto"/>
    <s v="REGRESIÓN"/>
    <x v="3"/>
    <s v="Realizar consulta detallada de movimientos"/>
    <s v="El tercero grabará la llamada en sus sistemas y nos enviará la información para el almacenamiento de la tapa en el gestor documental"/>
    <s v="Grabacion de la llamada datos para cargar gestor documental_x000a_ "/>
    <s v="1. Ingresar al aplicativo con tipo de identificación CC._x000a__x000a_"/>
    <s v="Cargar exitosamente las grabaciones"/>
    <x v="0"/>
    <n v="78426"/>
    <s v="No genera las grabaciones en el formato indicado"/>
    <d v="2023-11-10T00:00:00"/>
    <m/>
    <m/>
    <m/>
    <m/>
    <m/>
    <m/>
    <m/>
    <m/>
    <m/>
    <s v="Evidencia"/>
  </r>
  <r>
    <d v="2023-11-10T00:00:00"/>
    <s v="NO"/>
    <s v="Jaime Alberto Casas Barrera"/>
    <s v="CP005"/>
    <s v="Alto"/>
    <s v="FUNCIONALIDAD"/>
    <x v="3"/>
    <s v="Revisar el estado de la consulta en la BD Master"/>
    <s v="Si el Cliente no está interesada debería registrarse en Siebel para que se cierre la campaña junto con una convención que permita agrupar la decisión del cliente "/>
    <s v="Consultar  retroalimentacion de la Campaña_x000a_ "/>
    <s v="1. Ingresar al aplicativo con tipo de identificación CC._x000a_2. Verficar las campáñas / consultarla_x000a_"/>
    <s v="Visualizar la retroalimentacion"/>
    <x v="0"/>
    <m/>
    <m/>
    <m/>
    <m/>
    <m/>
    <m/>
    <m/>
    <m/>
    <m/>
    <m/>
    <m/>
    <m/>
    <s v="Evidencia"/>
  </r>
  <r>
    <d v="2023-11-10T00:00:00"/>
    <s v="NO"/>
    <s v="Jaime Alberto Casas Barrera"/>
    <s v="CP006"/>
    <s v="Alto"/>
    <s v="AJUSTE"/>
    <x v="3"/>
    <s v="Realizar Ingresar al módulo de Pagos"/>
    <s v="Validacion de cliente call Center / Preguntas"/>
    <s v="Ejecutar Caja de retos Preguntas"/>
    <s v="1. Ingresar al aplicativo con tipo de identificación CC._x000a_2. Ingresar directamente a con  a personas naturales                                                                   3 Autorizacion"/>
    <s v="LISTADO DE PREGUNTAS"/>
    <x v="0"/>
    <m/>
    <m/>
    <m/>
    <m/>
    <m/>
    <m/>
    <m/>
    <m/>
    <m/>
    <m/>
    <m/>
    <m/>
    <s v="Evidencia"/>
  </r>
  <r>
    <d v="2023-11-10T00:00:00"/>
    <s v="NO"/>
    <s v="Jaime Alberto Casas Barrera"/>
    <s v="CP007"/>
    <s v="Alto"/>
    <s v="FUNCIONALIDAD"/>
    <x v="3"/>
    <s v="VerificaciónPagó servicio con código de Barras"/>
    <s v="Verificar que se permita realizar la transferencia cuando se cumple con la regla 7 de reto transaccional."/>
    <s v="Ejecutar Caja de retos Preguntas"/>
    <s v="1. Ingresar al aplicativo con tipo de identificación CC._x000a_2. Ingresar directamente a con  a personas naturales                                                                   3 Autorizacion_x000a_"/>
    <s v="LISTADO DE PREGUNTAS"/>
    <x v="0"/>
    <m/>
    <m/>
    <m/>
    <m/>
    <m/>
    <m/>
    <m/>
    <m/>
    <m/>
    <m/>
    <m/>
    <m/>
    <s v="Evidencia"/>
  </r>
  <r>
    <d v="2023-11-10T00:00:00"/>
    <s v="NO"/>
    <s v="Jaime Alberto Casas Barrera"/>
    <s v="CP008"/>
    <s v="Alto"/>
    <s v="FUNCIONALIDAD"/>
    <x v="3"/>
    <s v="VerificaciónXXXXXXX"/>
    <s v="Se solicitará foto o copia escaneada al cliente de documento de identificación, pedir por correo (buzón del tercero) y cargar"/>
    <s v="Listado de preguntas_x000a_ "/>
    <s v="1. Ingresar al aplicativo con tipo de identificación CC._x000a_2. Ingresar directamente a con  a personas naturales                                                                   3 Autorizacion_x000a__x000a_"/>
    <s v="Se permite realizar la transferencia , se valida que se cumpla o no la regla 7 por antigüedad de cuenta, se verifica que se poble la información correctamente en las tablas CV1013  y CV1014"/>
    <x v="0"/>
    <m/>
    <m/>
    <m/>
    <m/>
    <m/>
    <m/>
    <m/>
    <m/>
    <m/>
    <m/>
    <m/>
    <m/>
    <s v="Evidencia"/>
  </r>
  <r>
    <d v="2023-11-10T00:00:00"/>
    <s v="NO"/>
    <s v="Jaime Alberto Casas Barrera"/>
    <s v="CP009"/>
    <s v="Alto"/>
    <s v="FUNCIONALIDAD"/>
    <x v="3"/>
    <s v="VerificaciónXXXXXXX"/>
    <s v="NO ESTA DEFINIDO"/>
    <s v="Listado de preguntas/ a comparar_x000a_ "/>
    <s v="1. Ingresar al aplicativo con tipo de identificación CC._x000a_2. Ingresar directamente a con  a personas naturales                                                                   3 Autorizacion_x000a_"/>
    <s v="NO ESTA DEFINIDO"/>
    <x v="0"/>
    <m/>
    <m/>
    <m/>
    <m/>
    <m/>
    <m/>
    <m/>
    <m/>
    <m/>
    <m/>
    <m/>
    <m/>
    <s v="Evidencia"/>
  </r>
  <r>
    <d v="2023-11-10T00:00:00"/>
    <s v="NO"/>
    <s v="Jaime Alberto Casas Barrera"/>
    <s v="CP010"/>
    <s v="Alto"/>
    <s v="FUNCIONALIDAD"/>
    <x v="3"/>
    <s v="VerificaciónXXXXXXX"/>
    <s v="NO ESTA DEFINIDO /Quien lo hace el Call center "/>
    <s v="Datos desactualizados / Correjir _x000a_ "/>
    <s v="1. Ingresar al aplicativo con tipo de identificación CC._x000a_2. Ingresar directamente a con  a personas naturales     _x000a_3. Datos del contacto _x000a_"/>
    <s v="Datos actualizado exitosamente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1"/>
    <s v="Alto"/>
    <s v="FUNCIONALIDAD"/>
    <x v="3"/>
    <s v="VerificaciónXXXXXXX"/>
    <s v="Verificar que se permita realizar la oferta de la tarjeat de creditol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realizar la transferencia , se valida que se cumpla o no la regla 7 por antigüedad de cuenta, se verifica que se poble la información correctamente en las tablas CV1013  y CV1014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2"/>
    <s v="Alto"/>
    <s v="FUNCIONALIDAD"/>
    <x v="3"/>
    <s v="VerificaciónXXXXXXX"/>
    <s v="Verificar que se permita realizar DESEMBOLSO DE LA tc"/>
    <s v="Que la solcitud este en Analis verificacion de datos _x000a_ _x000a_ "/>
    <s v="_x000a_"/>
    <s v="Desembolso EXITOSO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3"/>
    <s v="Alto"/>
    <s v="FUNCIONALIDAD"/>
    <x v="3"/>
    <s v="VerificaciónXXXXXXX"/>
    <s v="Verificar que se permita realizar la validacion de identidad"/>
    <s v="Que la solictud este vigente/ Validacion de Identidad_x000a_ "/>
    <s v="1. Ingresar al aplicativo con tipo de identificación CC._x000a_2. Ingresar al módulo Mis Pagos_x000a_3, Escoger producto a pagar_x000a_4. Escoger cuenta disponible_x000a_"/>
    <s v="Radicar y cerrar solictuD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4"/>
    <s v="Alto"/>
    <s v="FUNCIONALIDAD"/>
    <x v="3"/>
    <s v="VerificaciónXXXXXXX"/>
    <s v="Verificar que se permita realizar la validacion de identidad"/>
    <s v="Que la solictud este vigente/ Validacion de Identidad_x000a_ "/>
    <s v="Continuar con la solucitud / Genrar pagared por medio del codigo OTP _x000a_"/>
    <s v="Se permite realizar la transferencia , se valida que se cumpla o no la regla 7 por antigüedad de cuenta, se verifica que se poble la información correctamente en las tablas CV1013  y CV1014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5"/>
    <s v="Alto"/>
    <s v="FUNCIONALIDAD"/>
    <x v="3"/>
    <s v="VerificaciónXXXXXXX"/>
    <s v="Se genera codigo OTP al darle clic  Firma de pagare con OTP de Banco / Se Ejecuta consulta en BD  S4UI+   select *_x000a_from ADMMASTER.fss032notif_tank_x000a_where ccs032mnemonico = 'CC1026586831'--------colocar el número de identificación del cliente_x000a_---and ccs032address like 'j2g2g9i3@bancocajasocial.com%'_x000a_order by ccs032notif_date desc;"/>
    <s v="Estar en la etapa de radicacion _x000a_ "/>
    <s v="1. Ingresar la solictud_x000a_2. clic en la pestaña Radicar y cerrar solicitud _x000a_3. Clic firma de pagare OTP _x000a_"/>
    <s v="Pagare ya esta firmado correctamente - SE GENERA CODIGO OTP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6"/>
    <s v="Alto"/>
    <s v="FUNCIONALIDAD"/>
    <x v="3"/>
    <s v="VerificaciónXXXXXXX"/>
    <s v="Verificacion de Data Cargada / SELECT * FROM SIEBEL.EIM_CON_DTL;_x000a_SELECT * FROM SIEBEL.EIM_CONTACT;_x000a_SELECT * FROM SIEBEL.EIM_FN_CONTACT4;_x000a__x000a_"/>
    <s v="Que no esten cargado los archivo_x000a_ "/>
    <s v="1. Ingresar al aplicativo con tipo de identificación CC._x000a_2. Ingresar al módulo Mis Pagos_x000a_3. Seleccionar opcion  pago de servicios_x000a_"/>
    <s v="Caqrgue Archivo exitosamente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7"/>
    <s v="Alto"/>
    <s v="FUNCIONALIDAD"/>
    <x v="3"/>
    <s v="VerificaciónXXXXXXX"/>
    <s v="Vistas de usuario Asesor"/>
    <s v="Autenticacion de usuario Asesor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Vistas requerida de usuario Asesor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8"/>
    <s v="Medio"/>
    <s v="FUNCIONALIDAD"/>
    <x v="3"/>
    <s v="VerificaciónXXXXXXX"/>
    <s v="Vistas de usuario Proveedor"/>
    <s v="Autenticacion de usuario Proveedor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Vistas requerida de usuario Proveedor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9"/>
    <s v="Medio"/>
    <s v="FUNCIONALIDAD"/>
    <x v="3"/>
    <s v="VerificaciónXXXXXXX"/>
    <s v="Seleccionar documentos "/>
    <s v="Solicitar Cargar Documentos_x000a_ "/>
    <s v="1. Radicacion                                                    2. Generar Documento                                  3 Cargar documentos requeridos,"/>
    <s v="Cargue Documento exitosamente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0"/>
    <s v="Medio"/>
    <s v="FUNCIONALIDAD"/>
    <x v="3"/>
    <s v="VerificaciónXXXXXXX"/>
    <s v="Verificar que documentos Se carga de acuerdo el segmento"/>
    <s v="Solicitar Cargar Documentos segmentado_x000a_ "/>
    <s v="1. Ingresar al aplicativo con tipo de identificación CC._x000a_2.Cargue documentos_x000a__x000a_"/>
    <s v="Cargue Documento exitosamente de acuerdo la segmentacion 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1"/>
    <s v="Medio"/>
    <s v="FUNCIONALIDAD"/>
    <x v="3"/>
    <s v="VerificaciónXXXXXXX"/>
    <s v="Verificar que se permita realizar la transferencia cuando se cumple con la regla 7 de reto transaccional."/>
    <s v="1 Que usuario este creado / potencial                                        2 Usuario viable para TC                     3  Verificar que las campañas esten creadas,"/>
    <s v="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"/>
    <s v="Cliente no viable no se le puede GO /TC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2"/>
    <s v="Medio"/>
    <s v="FUNCIONALIDAD"/>
    <x v="3"/>
    <s v="VerificaciónXXXXXXX"/>
    <s v="Pasos 1:Realizar busqueda por el numero de solicitud ejemplo 1-243163201_x000a_paso 2 :Click a la solicitud para hacer la refrenciacion telefonica._x000a_paso 3: Se da click a todo lo que  diga gestionar y hacer el proceso uno a uno ¨_x000a_paso 4: Realizar llamada dandole clic al boton verde _x000a_paso 5: diligenciar preguntas de referenciacion telefonica en este caso darle todo SI CLIC EN EVALUAR_x000a_paso 6: clic en corgar la llamada  escoger respuesta exitosa clic acpetar_x000a_paso 7: aparece una pantalla se responde favorable , en accion a seguir -&gt; Selecionar GUARDAR _x000a_paso 8: Como salieron dos gestionar se repiteel proceso del paso 4 al 7 , algunas veces no sale el boton de evaluar, cuando tengamos un gestionar_x000a_ o terminemos todos los gestionar en vez de guardar le damos continuar porque ya terminamos todos los gestionar._x000a_paso 9: clic en continuar , clic aprobar "/>
    <s v="Que la solictud este radicacion"/>
    <s v="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"/>
    <s v="Etapa final Referenciacion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3"/>
    <s v="Medio"/>
    <s v="FUNCIONALIDAD"/>
    <x v="3"/>
    <s v="VerificaciónXXXXXXX"/>
    <s v="Analisis"/>
    <s v="Que la solictud este radicacion"/>
    <s v="Pasos 1 : Despues de buscar en el enterprise el usuario que corresponde para realizar el analis en el workspace ingresamos con el._x000a_Pasos 2: ingresamos la solictud clic ._x000a_paso 3 :se diligencia donde dice Observaciones Analisis solicitante clic en el boton analizado_x000a_Pasos 4:clic en boton Balancear consumo._x000a_Pasos 5:clic en  en OK en la ventana de information._x000a_Pasos 6 selecionar Excepcion Manual NO_x000a_Pasos 7: Selecionar Aprobar oferta_x000a_Pasos 8: Acpetar_x000a_Pasos 9: iNFORMATION clic en OK_x000a__x000a_REVISAR EN ORACLE (ENTERPRISE MANAGER)_x000a_1. con que usuario vamos a realziar el proceso de referenciacion en en WORKSPACE_x000a_2. se realiza consulta de la solcitud 1-243163201 en el ENTERPRISE _x000a_"/>
    <s v="Etapa Final Analisis"/>
    <x v="0"/>
    <m/>
    <m/>
    <m/>
    <m/>
    <m/>
    <m/>
    <m/>
    <m/>
    <m/>
    <m/>
    <m/>
    <m/>
    <s v="Evidencia"/>
  </r>
  <r>
    <d v="2023-11-10T00:00:00"/>
    <s v="NO"/>
    <s v="Jaime Alberto Casas Barrera"/>
    <s v="CP024"/>
    <s v="Medio"/>
    <s v="FUNCIONALIDAD"/>
    <x v="3"/>
    <s v="VerificaciónXXXXXXX"/>
    <s v="Verificar que se permita realizar la oferta de la tarjeat de creditol.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generar ofecta a cliente  ofreciendole una TC"/>
    <x v="0"/>
    <m/>
    <m/>
    <m/>
    <m/>
    <m/>
    <m/>
    <m/>
    <m/>
    <m/>
    <m/>
    <m/>
    <m/>
    <s v="Evidencia"/>
  </r>
  <r>
    <d v="2023-11-10T00:00:00"/>
    <s v="NO"/>
    <s v="Jaime Alberto Casas Barrera"/>
    <s v="CP025"/>
    <s v="Medio"/>
    <s v="FUNCIONALIDAD"/>
    <x v="3"/>
    <s v="VerificaciónXXXXXXX"/>
    <s v="Analisis"/>
    <s v="Que la solictud este radicacion"/>
    <s v="Pasos 1 : Despues de buscar en el enterprise el usuario que corresponde para realizar el analis en el workspace ingresamos con el._x000a_Pasos 2: ingresamos la solictud clic ._x000a_paso 3 :se diligencia donde dice Observaciones Analisis solicitante clic en el boton analizado_x000a_Pasos 4:clic en boton Balancear consumo._x000a_Pasos 5:clic en  en OK en la ventana de information._x000a_Pasos 6 selecionar Excepcion Manual NO_x000a_Pasos 7: Selecionar Aprobar oferta_x000a_Pasos 8: Acpetar_x000a_Pasos 9: iNFORMATION clic en OK_x000a__x000a_REVISAR EN ORACLE (ENTERPRISE MANAGER)_x000a_1. con que usuario vamos a realziar el proceso de referenciacion en en WORKSPACE_x000a_2. se realiza consulta de la solcitud 1-243163201 en el ENTERPRISE _x000a_"/>
    <s v="Etapa Final Analisis"/>
    <x v="0"/>
    <m/>
    <m/>
    <m/>
    <m/>
    <m/>
    <m/>
    <m/>
    <m/>
    <m/>
    <m/>
    <m/>
    <m/>
    <s v="Evidencia"/>
  </r>
  <r>
    <d v="2023-11-10T00:00:00"/>
    <s v="NO"/>
    <s v="Jaime Alberto Casas Barrera"/>
    <s v="CP026"/>
    <s v="Medio"/>
    <s v="FUNCIONALIDAD"/>
    <x v="3"/>
    <s v="VerificaciónXXXXXXX"/>
    <s v="Verificar que se permita realizar DESEMBOLSO DE LA tc"/>
    <s v="Que la solcitud este en Analis verificacion de datos _x000a_ _x000a_ "/>
    <s v="_x000a_"/>
    <s v="Desembolso EXITOSO"/>
    <x v="0"/>
    <m/>
    <m/>
    <m/>
    <m/>
    <m/>
    <m/>
    <m/>
    <m/>
    <m/>
    <m/>
    <m/>
    <m/>
    <s v="Evidencia"/>
  </r>
  <r>
    <d v="2023-11-10T00:00:00"/>
    <s v="NO"/>
    <s v="Jaime Alberto Casas Barrera"/>
    <s v="CP027"/>
    <s v="Alto"/>
    <s v="FUNCIONALIDAD"/>
    <x v="3"/>
    <s v="VerificaciónXXXXXXX"/>
    <s v="Verificar que se permita realizar la transferencia cuando se cumple con la regla 7 de reto transaccional."/>
    <s v="Estar enrolado en internet banca personas_x000a_Existir en starclientes_x000a_Contar con cuenta activa_x000a_Tener saldo &gt; 0_x000a_ "/>
    <s v="1. clic Persona Natural-&gt; Selecionar tipo de identificación CC.  and Numero de identificacion._x000a_2. Ingresar pestaña Autorizacion. _x000a_3. Ingresar Datos de identificacion._x000a_4 Clic  Datos de contacto.                        "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2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2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30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1T00:00:00"/>
    <s v="NO"/>
    <s v="Jaime Alberto Casas Barrera"/>
    <s v="CP031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2T00:00:00"/>
    <s v="NO"/>
    <s v="Jaime Alberto Casas Barrera"/>
    <s v="CP032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3T00:00:00"/>
    <s v="NO"/>
    <s v="Jaime Alberto Casas Barrera"/>
    <s v="CP033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4T00:00:00"/>
    <s v="NO"/>
    <s v="Jaime Alberto Casas Barrera"/>
    <s v="CP034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5T00:00:00"/>
    <s v="NO"/>
    <s v="Jaime Alberto Casas Barrera"/>
    <s v="CP035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6T00:00:00"/>
    <s v="NO"/>
    <s v="Jaime Alberto Casas Barrera"/>
    <s v="CP036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7T00:00:00"/>
    <s v="NO"/>
    <s v="Jaime Alberto Casas Barrera"/>
    <s v="CP037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8T00:00:00"/>
    <s v="NO"/>
    <s v="Jaime Alberto Casas Barrera"/>
    <s v="CP03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9T00:00:00"/>
    <s v="NO"/>
    <s v="Jaime Alberto Casas Barrera"/>
    <s v="CP03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0T00:00:00"/>
    <s v="NO"/>
    <s v="Jaime Alberto Casas Barrera"/>
    <s v="CP040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1T00:00:00"/>
    <s v="NO"/>
    <s v="Jaime Alberto Casas Barrera"/>
    <s v="CP041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2T00:00:00"/>
    <s v="NO"/>
    <s v="Jaime Alberto Casas Barrera"/>
    <s v="CP042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3T00:00:00"/>
    <s v="NO"/>
    <s v="Jaime Alberto Casas Barrera"/>
    <s v="CP043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4T00:00:00"/>
    <s v="NO"/>
    <s v="Jaime Alberto Casas Barrera"/>
    <s v="CP044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5T00:00:00"/>
    <s v="NO"/>
    <s v="Jaime Alberto Casas Barrera"/>
    <s v="CP045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6T00:00:00"/>
    <s v="NO"/>
    <s v="Jaime Alberto Casas Barrera"/>
    <s v="CP046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7T00:00:00"/>
    <s v="NO"/>
    <s v="Jaime Alberto Casas Barrera"/>
    <s v="CP047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8T00:00:00"/>
    <s v="NO"/>
    <s v="Jaime Alberto Casas Barrera"/>
    <s v="CP04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9T00:00:00"/>
    <s v="NO"/>
    <s v="Jaime Alberto Casas Barrera"/>
    <s v="CP04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30T00:00:00"/>
    <s v="NO"/>
    <s v="Jaime Alberto Casas Barrera"/>
    <s v="CP050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2-0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3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3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3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3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431B-F78B-4268-91EB-B9ACF65272DF}" name="TablaDinámica6" cacheId="0" applyNumberFormats="0" applyBorderFormats="0" applyFontFormats="0" applyPatternFormats="0" applyAlignmentFormats="0" applyWidthHeightFormats="1" dataCaption="Valores" grandTotalCaption="TOTAL CP" updatedVersion="8" minRefreshableVersion="3" useAutoFormatting="1" rowGrandTotals="0" itemPrintTitles="1" createdVersion="8" indent="0" outline="1" outlineData="1" multipleFieldFilters="0" rowHeaderCaption="Canal/Funcionalidad/HU">
  <location ref="W4:Y10" firstHeaderRow="1" firstDataRow="2" firstDataCol="1"/>
  <pivotFields count="26"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9">
        <item n="CP BLOQUEADOS" m="1" x="3"/>
        <item m="1" x="6"/>
        <item n="CP EXITOSOS" m="1" x="1"/>
        <item n="CP FALLIDOS" m="1" x="2"/>
        <item m="1" x="7"/>
        <item n="CP POR EJECUTAR" x="0"/>
        <item m="1" x="5"/>
        <item n="CP APAGADOS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2"/>
  </colFields>
  <colItems count="2">
    <i>
      <x v="5"/>
    </i>
    <i t="grand">
      <x/>
    </i>
  </colItems>
  <dataFields count="1">
    <dataField name="Cuenta de Canal/Funcionalidad/HU" fld="6" subtotal="count" baseField="0" baseItem="0"/>
  </dataFields>
  <formats count="13">
    <format dxfId="18">
      <pivotArea dataOnly="0" labelOnly="1" fieldPosition="0">
        <references count="1">
          <reference field="12" count="0"/>
        </references>
      </pivotArea>
    </format>
    <format dxfId="17">
      <pivotArea dataOnly="0" labelOnly="1" grandCol="1" outline="0" fieldPosition="0"/>
    </format>
    <format dxfId="16">
      <pivotArea dataOnly="0" labelOnly="1" fieldPosition="0">
        <references count="1">
          <reference field="12" count="0"/>
        </references>
      </pivotArea>
    </format>
    <format dxfId="15">
      <pivotArea dataOnly="0" labelOnly="1" grandCol="1" outline="0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field="12" type="button" dataOnly="0" labelOnly="1" outline="0" axis="axisCol" fieldPosition="0"/>
    </format>
    <format dxfId="10">
      <pivotArea type="topRight" dataOnly="0" labelOnly="1" outline="0" fieldPosition="0"/>
    </format>
    <format dxfId="9">
      <pivotArea field="6" type="button" dataOnly="0" labelOnly="1" outline="0" axis="axisRow" fieldPosition="0"/>
    </format>
    <format dxfId="8">
      <pivotArea dataOnly="0" labelOnly="1" fieldPosition="0">
        <references count="1">
          <reference field="6" count="0"/>
        </references>
      </pivotArea>
    </format>
    <format dxfId="7">
      <pivotArea dataOnly="0" labelOnly="1" fieldPosition="0">
        <references count="1">
          <reference field="12" count="0"/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293D6C-E153-47D3-B751-F56824600D96}" name="Table_15" displayName="Table_15" ref="B7:G43" headerRowDxfId="31">
  <tableColumns count="6">
    <tableColumn id="1" xr3:uid="{30DA3F12-EB5E-44A4-AD2D-6B1D5F4E15FE}" name="Id CP"/>
    <tableColumn id="2" xr3:uid="{F66983E4-670C-4DA2-AA1E-BDAEBD7EF451}" name="Clasificación "/>
    <tableColumn id="3" xr3:uid="{CCD77A11-9BC5-4F3C-B5D6-55158320AE68}" name="Canal/Funcionalidad/HU"/>
    <tableColumn id="4" xr3:uid="{4F1D5158-1292-4402-9D28-3A2F63443419}" name="Nombre del caso de prueba"/>
    <tableColumn id="5" xr3:uid="{17BE30FC-E3FA-4B0C-AD45-F9F49CB53715}" name="Complejidad Diseño"/>
    <tableColumn id="6" xr3:uid="{3A342D7D-2765-4FA9-A6C3-8FF71B5D1833}" name="Complejidad Ejecución"/>
  </tableColumns>
  <tableStyleInfo name="Estimación CP a diseña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0C5DB7-7B1D-4539-8244-173ADC5A7CC6}" name="Table_156" displayName="Table_156" ref="B7:G43" headerRowDxfId="30">
  <tableColumns count="6">
    <tableColumn id="1" xr3:uid="{37DC75DE-6E23-4F92-9B11-9C203047BD19}" name="Id CP"/>
    <tableColumn id="2" xr3:uid="{7AB15CF0-C3A3-48D4-8644-43BE81761D2E}" name="Clasificación "/>
    <tableColumn id="3" xr3:uid="{28411372-011C-46F1-9220-B63A01C45CC0}" name="Canal/Funcionalidad/HU"/>
    <tableColumn id="4" xr3:uid="{EEA6AE81-622D-41F2-923F-276A561CFFB5}" name="Nombre del caso de prueba"/>
    <tableColumn id="5" xr3:uid="{70B0103A-593B-4535-BF99-79B2E918177C}" name="Complejidad Diseño"/>
    <tableColumn id="6" xr3:uid="{56D71BB4-2F4E-4BF7-81D6-F9703D1F7468}" name="Complejidad Ejecución"/>
  </tableColumns>
  <tableStyleInfo name="Estimación CP a diseñar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5076EE-44BF-415D-819A-2AA5B0925696}" name="Table_1567" displayName="Table_1567" ref="B7:G43" headerRowDxfId="29">
  <tableColumns count="6">
    <tableColumn id="1" xr3:uid="{D2C0CACB-6E86-4D97-8DEE-D1DF0B9BB1E8}" name="Id CP"/>
    <tableColumn id="2" xr3:uid="{D7C11086-FD6E-4102-AFD1-C40CB78729B8}" name="Clasificación "/>
    <tableColumn id="3" xr3:uid="{B96CBA9A-759D-40E3-83EB-05F22F67E5BC}" name="Canal/Funcionalidad/HU"/>
    <tableColumn id="4" xr3:uid="{EFAFC593-98D9-4B67-955B-CCB56DD53B95}" name="Nombre del caso de prueba"/>
    <tableColumn id="5" xr3:uid="{19CA80AE-1DD4-4969-B209-D6C9181E753C}" name="Complejidad Diseño"/>
    <tableColumn id="6" xr3:uid="{D3270761-EFD7-4EE7-9EA3-60CE97CACF30}" name="Complejidad Ejecución"/>
  </tableColumns>
  <tableStyleInfo name="Estimación CP a diseñar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069DDC-AEA6-462B-B23C-DAD290F50614}" name="Table_15678" displayName="Table_15678" ref="B7:G43" headerRowDxfId="28">
  <tableColumns count="6">
    <tableColumn id="1" xr3:uid="{7E33F691-7A93-478D-9A09-F2A54F8002A7}" name="Id CP"/>
    <tableColumn id="2" xr3:uid="{8856AA44-A57E-4637-8E1C-63FDC948010C}" name="Clasificación "/>
    <tableColumn id="3" xr3:uid="{6886B6FE-7B5F-4EFA-9452-958B76C9B71B}" name="Canal/Funcionalidad/HU"/>
    <tableColumn id="4" xr3:uid="{455090DC-647A-4186-BE7E-B00D6E975522}" name="Nombre del caso de prueba"/>
    <tableColumn id="5" xr3:uid="{109F9B22-323B-4A09-AE2C-537A0FE7305E}" name="Complejidad Diseño"/>
    <tableColumn id="6" xr3:uid="{E9923C08-B630-4ACE-AFDF-79FB940A9547}" name="Complejidad Ejecución"/>
  </tableColumns>
  <tableStyleInfo name="Estimación CP a diseñar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ACTAS" displayName="GACTAS" ref="B7:J14" totalsRowShown="0" headerRowDxfId="27">
  <autoFilter ref="B7:J14" xr:uid="{00000000-0009-0000-0100-000002000000}"/>
  <tableColumns count="9">
    <tableColumn id="1" xr3:uid="{00000000-0010-0000-0100-000001000000}" name="Fecha de Instalación" dataDxfId="26"/>
    <tableColumn id="2" xr3:uid="{00000000-0010-0000-0100-000002000000}" name="Iniciativa" dataDxfId="25"/>
    <tableColumn id="3" xr3:uid="{00000000-0010-0000-0100-000003000000}" name="Paquete de SW" dataDxfId="24"/>
    <tableColumn id="4" xr3:uid="{00000000-0010-0000-0100-000004000000}" name="Versión" dataDxfId="23"/>
    <tableColumn id="5" xr3:uid="{00000000-0010-0000-0100-000005000000}" name="Componente" dataDxfId="22"/>
    <tableColumn id="6" xr3:uid="{00000000-0010-0000-0100-000006000000}" name="Desarrollador" dataDxfId="21"/>
    <tableColumn id="7" xr3:uid="{00000000-0010-0000-0100-000007000000}" name="Tipo" dataDxfId="20"/>
    <tableColumn id="8" xr3:uid="{00000000-0010-0000-0100-000008000000}" name="Estado" dataDxfId="19"/>
    <tableColumn id="9" xr3:uid="{00000000-0010-0000-0100-000009000000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3-05-20T00:52:02.20" personId="{E2F7C786-E8D2-4DC6-ABC7-BFA499013112}" id="{D0ED5D7A-A8D4-4B15-8B11-E83354455C95}">
    <text>No se ejecuta todo el plan o se instala en producción con defectos abiertos con el aval de Usuario</text>
  </threadedComment>
  <threadedComment ref="D6" dT="2023-05-20T00:52:34.18" personId="{E2F7C786-E8D2-4DC6-ABC7-BFA499013112}" id="{0278E1F6-0354-4BF3-9FFB-ADF70F4FAED0}">
    <text>Plan de pruebas ejecutado al 100% sin defectos abiertos</text>
  </threadedComment>
  <threadedComment ref="C20" dT="2023-05-20T00:22:02.79" personId="{E2F7C786-E8D2-4DC6-ABC7-BFA499013112}" id="{3A5BE23D-D4D2-41EA-BD60-E9ACA1A5AA5B}">
    <text>Ingresar en este campo el tiempo Real en horas que le llevo ejecutar el plan de pruebas</text>
  </threadedComment>
  <threadedComment ref="C25" dT="2023-05-20T00:48:49.47" personId="{E2F7C786-E8D2-4DC6-ABC7-BFA499013112}" id="{B67EB4A7-BF0F-47EB-9067-3B22BB1DBA5F}">
    <text>Si es &lt;=0: Cumplimiento del Time To Market (estimación planeada)
Si es &gt;0: No cumple el Time To Market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37DBC9-7685-4C52-8EE1-F437719EDEDC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3e56879b-69bf-496e-a643-a52d6426431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H47"/>
  <sheetViews>
    <sheetView workbookViewId="0">
      <selection activeCell="C31" sqref="C31"/>
    </sheetView>
  </sheetViews>
  <sheetFormatPr baseColWidth="10" defaultColWidth="0" defaultRowHeight="15.75" zeroHeight="1" x14ac:dyDescent="0.25"/>
  <cols>
    <col min="1" max="1" width="12" style="23" customWidth="1"/>
    <col min="2" max="2" width="62.375" style="23" customWidth="1"/>
    <col min="3" max="4" width="15.625" style="23" customWidth="1"/>
    <col min="5" max="16384" width="11.5" style="23" hidden="1"/>
  </cols>
  <sheetData>
    <row r="1" spans="1:3" x14ac:dyDescent="0.25">
      <c r="A1" s="3"/>
      <c r="B1" s="3"/>
      <c r="C1" s="3"/>
    </row>
    <row r="2" spans="1:3" ht="21" customHeight="1" x14ac:dyDescent="0.25">
      <c r="A2" s="3"/>
      <c r="B2" s="158" t="s">
        <v>10</v>
      </c>
      <c r="C2" s="158"/>
    </row>
    <row r="3" spans="1:3" ht="16.5" thickBot="1" x14ac:dyDescent="0.3">
      <c r="A3" s="3"/>
      <c r="B3" s="3"/>
      <c r="C3" s="3"/>
    </row>
    <row r="4" spans="1:3" ht="25.5" x14ac:dyDescent="0.25">
      <c r="A4" s="3"/>
      <c r="B4" s="50" t="s">
        <v>11</v>
      </c>
      <c r="C4" s="51" t="s">
        <v>12</v>
      </c>
    </row>
    <row r="5" spans="1:3" x14ac:dyDescent="0.25">
      <c r="A5" s="24"/>
      <c r="B5" s="52" t="s">
        <v>13</v>
      </c>
      <c r="C5" s="53">
        <v>0.01</v>
      </c>
    </row>
    <row r="6" spans="1:3" x14ac:dyDescent="0.25">
      <c r="A6" s="24"/>
      <c r="B6" s="52" t="s">
        <v>14</v>
      </c>
      <c r="C6" s="53">
        <v>0</v>
      </c>
    </row>
    <row r="7" spans="1:3" x14ac:dyDescent="0.25">
      <c r="A7" s="24"/>
      <c r="B7" s="52" t="s">
        <v>15</v>
      </c>
      <c r="C7" s="53">
        <v>0.01</v>
      </c>
    </row>
    <row r="8" spans="1:3" x14ac:dyDescent="0.25">
      <c r="A8" s="24"/>
      <c r="B8" s="52" t="s">
        <v>16</v>
      </c>
      <c r="C8" s="53">
        <v>0.01</v>
      </c>
    </row>
    <row r="9" spans="1:3" x14ac:dyDescent="0.25">
      <c r="A9" s="24"/>
      <c r="B9" s="52" t="s">
        <v>17</v>
      </c>
      <c r="C9" s="53">
        <v>0.01</v>
      </c>
    </row>
    <row r="10" spans="1:3" x14ac:dyDescent="0.25">
      <c r="A10" s="24"/>
      <c r="B10" s="52" t="s">
        <v>18</v>
      </c>
      <c r="C10" s="53">
        <v>0.01</v>
      </c>
    </row>
    <row r="11" spans="1:3" x14ac:dyDescent="0.25">
      <c r="A11" s="24"/>
      <c r="B11" s="52" t="s">
        <v>19</v>
      </c>
      <c r="C11" s="53">
        <v>0.02</v>
      </c>
    </row>
    <row r="12" spans="1:3" x14ac:dyDescent="0.25">
      <c r="A12" s="24"/>
      <c r="B12" s="52" t="s">
        <v>20</v>
      </c>
      <c r="C12" s="53">
        <v>0.02</v>
      </c>
    </row>
    <row r="13" spans="1:3" x14ac:dyDescent="0.25">
      <c r="A13" s="24"/>
      <c r="B13" s="52" t="s">
        <v>21</v>
      </c>
      <c r="C13" s="53">
        <v>0.01</v>
      </c>
    </row>
    <row r="14" spans="1:3" x14ac:dyDescent="0.25">
      <c r="A14" s="24"/>
      <c r="B14" s="52" t="s">
        <v>22</v>
      </c>
      <c r="C14" s="53">
        <v>0.02</v>
      </c>
    </row>
    <row r="15" spans="1:3" x14ac:dyDescent="0.25">
      <c r="A15" s="24"/>
      <c r="B15" s="52" t="s">
        <v>23</v>
      </c>
      <c r="C15" s="53">
        <v>0.01</v>
      </c>
    </row>
    <row r="16" spans="1:3" x14ac:dyDescent="0.25">
      <c r="A16" s="24"/>
      <c r="B16" s="52" t="s">
        <v>24</v>
      </c>
      <c r="C16" s="53">
        <v>0.01</v>
      </c>
    </row>
    <row r="17" spans="1:60" x14ac:dyDescent="0.25">
      <c r="A17" s="24"/>
      <c r="B17" s="52" t="s">
        <v>25</v>
      </c>
      <c r="C17" s="53">
        <v>0.03</v>
      </c>
    </row>
    <row r="18" spans="1:60" x14ac:dyDescent="0.25">
      <c r="A18" s="24"/>
      <c r="B18" s="52" t="s">
        <v>26</v>
      </c>
      <c r="C18" s="53">
        <v>0.03</v>
      </c>
    </row>
    <row r="19" spans="1:60" x14ac:dyDescent="0.25">
      <c r="A19" s="24"/>
      <c r="B19" s="52" t="s">
        <v>27</v>
      </c>
      <c r="C19" s="53">
        <v>0.03</v>
      </c>
    </row>
    <row r="20" spans="1:60" x14ac:dyDescent="0.25">
      <c r="A20" s="24"/>
      <c r="B20" s="52" t="s">
        <v>28</v>
      </c>
      <c r="C20" s="53">
        <v>0.04</v>
      </c>
    </row>
    <row r="21" spans="1:60" x14ac:dyDescent="0.25">
      <c r="A21" s="24"/>
      <c r="B21" s="52" t="s">
        <v>29</v>
      </c>
      <c r="C21" s="53">
        <v>0.01</v>
      </c>
    </row>
    <row r="22" spans="1:60" x14ac:dyDescent="0.25">
      <c r="A22" s="24"/>
      <c r="B22" s="52" t="s">
        <v>30</v>
      </c>
      <c r="C22" s="53">
        <v>0</v>
      </c>
    </row>
    <row r="23" spans="1:60" x14ac:dyDescent="0.25">
      <c r="A23" s="24"/>
      <c r="B23" s="52" t="s">
        <v>31</v>
      </c>
      <c r="C23" s="53">
        <v>0.02</v>
      </c>
    </row>
    <row r="24" spans="1:60" ht="16.5" thickBot="1" x14ac:dyDescent="0.3">
      <c r="A24" s="3"/>
      <c r="B24" s="54" t="s">
        <v>32</v>
      </c>
      <c r="C24" s="55">
        <f>SUM(C5:C23)</f>
        <v>0.30000000000000004</v>
      </c>
    </row>
    <row r="25" spans="1:60" x14ac:dyDescent="0.25"/>
    <row r="26" spans="1:60" x14ac:dyDescent="0.25">
      <c r="B26" s="56" t="s">
        <v>33</v>
      </c>
    </row>
    <row r="27" spans="1:60" x14ac:dyDescent="0.25">
      <c r="B27" s="25"/>
      <c r="C27" s="1"/>
      <c r="E27" s="26"/>
      <c r="F27" s="26"/>
      <c r="G27" s="27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H27" s="29"/>
    </row>
    <row r="28" spans="1:60" x14ac:dyDescent="0.25">
      <c r="B28" s="30"/>
      <c r="C28" s="1"/>
      <c r="E28" s="31"/>
      <c r="F28" s="31"/>
      <c r="G28" s="1"/>
      <c r="H28" s="1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H28" s="29"/>
    </row>
    <row r="29" spans="1:60" x14ac:dyDescent="0.25"/>
    <row r="30" spans="1:60" x14ac:dyDescent="0.25"/>
    <row r="31" spans="1:60" x14ac:dyDescent="0.25"/>
    <row r="32" spans="1:60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</sheetData>
  <mergeCells count="1">
    <mergeCell ref="B2:C2"/>
  </mergeCells>
  <conditionalFormatting sqref="C24">
    <cfRule type="cellIs" dxfId="5" priority="2" operator="greaterThan">
      <formula>0.37</formula>
    </cfRule>
    <cfRule type="cellIs" dxfId="4" priority="3" operator="greaterThan">
      <formula>38</formula>
    </cfRule>
  </conditionalFormatting>
  <conditionalFormatting sqref="C5:C23">
    <cfRule type="cellIs" dxfId="3" priority="1" operator="greaterThan">
      <formula>0.08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5D2D2-1674-46A4-BE4E-E3D7198E204D}">
  <sheetPr codeName="Hoja5">
    <pageSetUpPr fitToPage="1"/>
  </sheetPr>
  <dimension ref="A1:Z1000"/>
  <sheetViews>
    <sheetView showGridLines="0" workbookViewId="0">
      <selection activeCell="B8" sqref="B8:G15"/>
    </sheetView>
  </sheetViews>
  <sheetFormatPr baseColWidth="10" defaultColWidth="12.625" defaultRowHeight="15" customHeight="1" x14ac:dyDescent="0.2"/>
  <cols>
    <col min="1" max="1" width="2.5" style="84" customWidth="1"/>
    <col min="2" max="2" width="13.875" style="84" customWidth="1"/>
    <col min="3" max="3" width="27.125" style="84" customWidth="1"/>
    <col min="4" max="4" width="22.875" style="84" customWidth="1"/>
    <col min="5" max="5" width="79.875" style="84" customWidth="1"/>
    <col min="6" max="6" width="12.75" style="84" customWidth="1"/>
    <col min="7" max="7" width="14.75" style="84" customWidth="1"/>
    <col min="8" max="16384" width="12.625" style="84"/>
  </cols>
  <sheetData>
    <row r="1" spans="1:26" ht="12.75" customHeight="1" x14ac:dyDescent="0.2">
      <c r="A1" s="159"/>
      <c r="B1" s="160"/>
      <c r="C1" s="160"/>
      <c r="D1" s="160"/>
      <c r="E1" s="160"/>
      <c r="F1" s="160"/>
      <c r="G1" s="160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6" ht="12.75" x14ac:dyDescent="0.2">
      <c r="A2" s="111"/>
      <c r="B2" s="161" t="s">
        <v>34</v>
      </c>
      <c r="C2" s="162"/>
      <c r="D2" s="162"/>
      <c r="E2" s="162"/>
      <c r="F2" s="162"/>
      <c r="G2" s="163"/>
    </row>
    <row r="3" spans="1:26" ht="12.75" x14ac:dyDescent="0.2">
      <c r="A3" s="111"/>
      <c r="B3" s="164"/>
      <c r="C3" s="160"/>
      <c r="D3" s="160"/>
      <c r="E3" s="160"/>
      <c r="F3" s="160"/>
      <c r="G3" s="165"/>
    </row>
    <row r="4" spans="1:26" ht="12.75" x14ac:dyDescent="0.2">
      <c r="A4" s="111"/>
      <c r="B4" s="166"/>
      <c r="C4" s="167"/>
      <c r="D4" s="167"/>
      <c r="E4" s="167"/>
      <c r="F4" s="167"/>
      <c r="G4" s="168"/>
    </row>
    <row r="5" spans="1:26" ht="12.75" x14ac:dyDescent="0.2">
      <c r="A5" s="159"/>
      <c r="B5" s="160"/>
      <c r="C5" s="160"/>
      <c r="D5" s="160"/>
      <c r="E5" s="160"/>
      <c r="F5" s="160"/>
      <c r="G5" s="160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</row>
    <row r="6" spans="1:26" ht="12.75" x14ac:dyDescent="0.2">
      <c r="A6" s="160"/>
      <c r="B6" s="160"/>
      <c r="C6" s="160"/>
      <c r="D6" s="160"/>
      <c r="E6" s="160"/>
      <c r="F6" s="160"/>
      <c r="G6" s="160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</row>
    <row r="7" spans="1:26" ht="30" x14ac:dyDescent="0.2">
      <c r="A7" s="111"/>
      <c r="B7" s="113" t="s">
        <v>35</v>
      </c>
      <c r="C7" s="113" t="s">
        <v>36</v>
      </c>
      <c r="D7" s="113" t="s">
        <v>37</v>
      </c>
      <c r="E7" s="114" t="s">
        <v>38</v>
      </c>
      <c r="F7" s="113" t="s">
        <v>39</v>
      </c>
      <c r="G7" s="115" t="s">
        <v>40</v>
      </c>
    </row>
    <row r="8" spans="1:26" ht="21" customHeight="1" x14ac:dyDescent="0.2">
      <c r="A8" s="97"/>
      <c r="B8" s="110"/>
      <c r="C8" s="110"/>
      <c r="D8" s="103"/>
      <c r="E8" s="109"/>
      <c r="F8" s="103"/>
      <c r="G8" s="96"/>
    </row>
    <row r="9" spans="1:26" ht="15.75" x14ac:dyDescent="0.2">
      <c r="A9" s="97"/>
      <c r="B9" s="110"/>
      <c r="C9" s="110"/>
      <c r="D9" s="103"/>
      <c r="E9" s="109"/>
      <c r="F9" s="103"/>
      <c r="G9" s="96"/>
    </row>
    <row r="10" spans="1:26" ht="15.75" x14ac:dyDescent="0.2">
      <c r="A10" s="97"/>
      <c r="B10" s="110"/>
      <c r="C10" s="110"/>
      <c r="D10" s="103"/>
      <c r="E10" s="109"/>
      <c r="F10" s="103"/>
      <c r="G10" s="96"/>
    </row>
    <row r="11" spans="1:26" ht="15.75" x14ac:dyDescent="0.2">
      <c r="A11" s="97"/>
      <c r="B11" s="110"/>
      <c r="C11" s="110"/>
      <c r="D11" s="103"/>
      <c r="E11" s="109"/>
      <c r="F11" s="103"/>
      <c r="G11" s="96"/>
    </row>
    <row r="12" spans="1:26" ht="15.75" x14ac:dyDescent="0.2">
      <c r="A12" s="97"/>
      <c r="B12" s="110"/>
      <c r="C12" s="110"/>
      <c r="D12" s="103"/>
      <c r="E12" s="109"/>
      <c r="F12" s="103"/>
      <c r="G12" s="96"/>
    </row>
    <row r="13" spans="1:26" ht="15.75" x14ac:dyDescent="0.2">
      <c r="A13" s="97"/>
      <c r="B13" s="110"/>
      <c r="C13" s="110"/>
      <c r="D13" s="103"/>
      <c r="E13" s="109"/>
      <c r="F13" s="103"/>
      <c r="G13" s="96"/>
    </row>
    <row r="14" spans="1:26" ht="15.75" x14ac:dyDescent="0.2">
      <c r="A14" s="97"/>
      <c r="B14" s="110"/>
      <c r="C14" s="110"/>
      <c r="D14" s="103"/>
      <c r="E14" s="109"/>
      <c r="F14" s="108"/>
      <c r="G14" s="96"/>
    </row>
    <row r="15" spans="1:26" x14ac:dyDescent="0.2">
      <c r="A15" s="97"/>
      <c r="B15" s="96"/>
      <c r="C15" s="96"/>
      <c r="D15" s="95"/>
      <c r="E15" s="107"/>
      <c r="F15" s="106"/>
      <c r="G15" s="95"/>
    </row>
    <row r="16" spans="1:26" ht="15.75" x14ac:dyDescent="0.2">
      <c r="A16" s="97"/>
      <c r="B16" s="96"/>
      <c r="C16" s="96"/>
      <c r="D16" s="95"/>
      <c r="E16" s="100"/>
      <c r="F16" s="103"/>
      <c r="G16" s="96"/>
    </row>
    <row r="17" spans="1:7" ht="15.75" x14ac:dyDescent="0.2">
      <c r="A17" s="97"/>
      <c r="B17" s="96"/>
      <c r="C17" s="96"/>
      <c r="D17" s="95"/>
      <c r="E17" s="100"/>
      <c r="F17" s="103"/>
      <c r="G17" s="96"/>
    </row>
    <row r="18" spans="1:7" ht="15.75" x14ac:dyDescent="0.2">
      <c r="A18" s="97"/>
      <c r="B18" s="96"/>
      <c r="C18" s="96"/>
      <c r="D18" s="95"/>
      <c r="E18" s="100"/>
      <c r="F18" s="103"/>
      <c r="G18" s="96"/>
    </row>
    <row r="19" spans="1:7" ht="15.75" x14ac:dyDescent="0.2">
      <c r="A19" s="97"/>
      <c r="B19" s="96"/>
      <c r="C19" s="96"/>
      <c r="D19" s="95"/>
      <c r="E19" s="100"/>
      <c r="F19" s="103"/>
      <c r="G19" s="96"/>
    </row>
    <row r="20" spans="1:7" ht="15.75" x14ac:dyDescent="0.2">
      <c r="A20" s="97"/>
      <c r="B20" s="96"/>
      <c r="C20" s="96"/>
      <c r="D20" s="95"/>
      <c r="E20" s="100"/>
      <c r="F20" s="103"/>
      <c r="G20" s="96"/>
    </row>
    <row r="21" spans="1:7" ht="15.75" customHeight="1" x14ac:dyDescent="0.2">
      <c r="A21" s="105"/>
      <c r="B21" s="96"/>
      <c r="C21" s="96"/>
      <c r="D21" s="95"/>
      <c r="E21" s="100"/>
      <c r="F21" s="103"/>
      <c r="G21" s="96"/>
    </row>
    <row r="22" spans="1:7" ht="15.75" customHeight="1" x14ac:dyDescent="0.2">
      <c r="A22" s="105"/>
      <c r="B22" s="96"/>
      <c r="C22" s="96"/>
      <c r="D22" s="95"/>
      <c r="E22" s="100"/>
      <c r="F22" s="103"/>
      <c r="G22" s="96"/>
    </row>
    <row r="23" spans="1:7" ht="15.75" customHeight="1" x14ac:dyDescent="0.2">
      <c r="A23" s="105"/>
      <c r="B23" s="96"/>
      <c r="C23" s="96"/>
      <c r="D23" s="95"/>
      <c r="E23" s="100"/>
      <c r="F23" s="103"/>
      <c r="G23" s="96"/>
    </row>
    <row r="24" spans="1:7" ht="15.75" customHeight="1" x14ac:dyDescent="0.2">
      <c r="A24" s="104"/>
      <c r="B24" s="96"/>
      <c r="C24" s="96"/>
      <c r="D24" s="95"/>
      <c r="E24" s="100"/>
      <c r="F24" s="103"/>
      <c r="G24" s="96"/>
    </row>
    <row r="25" spans="1:7" ht="15.75" customHeight="1" x14ac:dyDescent="0.2">
      <c r="A25" s="104"/>
      <c r="B25" s="96"/>
      <c r="C25" s="96"/>
      <c r="D25" s="95"/>
      <c r="E25" s="100"/>
      <c r="F25" s="103"/>
      <c r="G25" s="96"/>
    </row>
    <row r="26" spans="1:7" ht="15.75" customHeight="1" x14ac:dyDescent="0.2">
      <c r="A26" s="104"/>
      <c r="B26" s="96"/>
      <c r="C26" s="96"/>
      <c r="D26" s="95"/>
      <c r="E26" s="100"/>
      <c r="F26" s="103"/>
      <c r="G26" s="96"/>
    </row>
    <row r="27" spans="1:7" ht="15.75" customHeight="1" x14ac:dyDescent="0.2">
      <c r="A27" s="104"/>
      <c r="B27" s="96"/>
      <c r="C27" s="96"/>
      <c r="D27" s="95"/>
      <c r="E27" s="100"/>
      <c r="F27" s="103"/>
      <c r="G27" s="96"/>
    </row>
    <row r="28" spans="1:7" ht="15.75" customHeight="1" x14ac:dyDescent="0.2">
      <c r="A28" s="104"/>
      <c r="B28" s="96"/>
      <c r="C28" s="96"/>
      <c r="D28" s="95"/>
      <c r="E28" s="100"/>
      <c r="F28" s="103"/>
      <c r="G28" s="96"/>
    </row>
    <row r="29" spans="1:7" ht="15.75" customHeight="1" x14ac:dyDescent="0.2">
      <c r="A29" s="104"/>
      <c r="B29" s="96"/>
      <c r="C29" s="96"/>
      <c r="D29" s="95"/>
      <c r="E29" s="100"/>
      <c r="F29" s="103"/>
      <c r="G29" s="96"/>
    </row>
    <row r="30" spans="1:7" ht="30" customHeight="1" x14ac:dyDescent="0.2">
      <c r="A30" s="104" t="s">
        <v>49</v>
      </c>
      <c r="B30" s="96"/>
      <c r="C30" s="96"/>
      <c r="D30" s="95"/>
      <c r="E30" s="100"/>
      <c r="F30" s="103"/>
      <c r="G30" s="96"/>
    </row>
    <row r="31" spans="1:7" ht="15.75" customHeight="1" x14ac:dyDescent="0.2">
      <c r="A31" s="102"/>
      <c r="B31" s="96"/>
      <c r="C31" s="96"/>
      <c r="D31" s="95"/>
      <c r="E31" s="100"/>
      <c r="F31" s="103"/>
      <c r="G31" s="96"/>
    </row>
    <row r="32" spans="1:7" ht="15.75" customHeight="1" x14ac:dyDescent="0.2">
      <c r="A32" s="102"/>
      <c r="B32" s="96"/>
      <c r="C32" s="96"/>
      <c r="D32" s="95"/>
      <c r="E32" s="100"/>
      <c r="F32" s="103"/>
      <c r="G32" s="96"/>
    </row>
    <row r="33" spans="1:7" ht="15.75" customHeight="1" x14ac:dyDescent="0.2">
      <c r="A33" s="102"/>
      <c r="B33" s="96"/>
      <c r="C33" s="96"/>
      <c r="D33" s="95"/>
      <c r="E33" s="100"/>
      <c r="F33" s="103"/>
      <c r="G33" s="96"/>
    </row>
    <row r="34" spans="1:7" ht="15.75" customHeight="1" x14ac:dyDescent="0.2">
      <c r="A34" s="102"/>
      <c r="B34" s="96"/>
      <c r="C34" s="96"/>
      <c r="D34" s="95"/>
      <c r="E34" s="100"/>
      <c r="F34" s="103"/>
      <c r="G34" s="96"/>
    </row>
    <row r="35" spans="1:7" ht="15.75" customHeight="1" x14ac:dyDescent="0.2">
      <c r="A35" s="102"/>
      <c r="B35" s="96"/>
      <c r="C35" s="96"/>
      <c r="D35" s="95"/>
      <c r="E35" s="100"/>
      <c r="F35" s="103"/>
      <c r="G35" s="96"/>
    </row>
    <row r="36" spans="1:7" ht="15.75" customHeight="1" x14ac:dyDescent="0.2">
      <c r="A36" s="102"/>
      <c r="B36" s="96"/>
      <c r="C36" s="96"/>
      <c r="D36" s="95"/>
      <c r="E36" s="100"/>
      <c r="F36" s="103"/>
      <c r="G36" s="96"/>
    </row>
    <row r="37" spans="1:7" ht="15.75" customHeight="1" x14ac:dyDescent="0.2">
      <c r="A37" s="102"/>
      <c r="B37" s="96"/>
      <c r="C37" s="96"/>
      <c r="D37" s="95"/>
      <c r="E37" s="100"/>
      <c r="F37" s="103"/>
      <c r="G37" s="96"/>
    </row>
    <row r="38" spans="1:7" ht="15.75" customHeight="1" x14ac:dyDescent="0.2">
      <c r="A38" s="102"/>
      <c r="B38" s="96"/>
      <c r="C38" s="96"/>
      <c r="D38" s="95"/>
      <c r="E38" s="100"/>
      <c r="F38" s="103"/>
      <c r="G38" s="96"/>
    </row>
    <row r="39" spans="1:7" ht="15.75" customHeight="1" x14ac:dyDescent="0.2">
      <c r="A39" s="102"/>
      <c r="B39" s="96"/>
      <c r="C39" s="96"/>
      <c r="D39" s="95"/>
      <c r="E39" s="100"/>
      <c r="F39" s="103"/>
      <c r="G39" s="96"/>
    </row>
    <row r="40" spans="1:7" ht="15.75" customHeight="1" x14ac:dyDescent="0.2">
      <c r="A40" s="102"/>
      <c r="B40" s="96"/>
      <c r="C40" s="96"/>
      <c r="D40" s="95"/>
      <c r="E40" s="100"/>
      <c r="F40" s="103"/>
      <c r="G40" s="96"/>
    </row>
    <row r="41" spans="1:7" ht="15.75" customHeight="1" x14ac:dyDescent="0.2">
      <c r="A41" s="102"/>
      <c r="B41" s="96"/>
      <c r="C41" s="96"/>
      <c r="D41" s="95"/>
      <c r="E41" s="100"/>
      <c r="F41" s="103"/>
      <c r="G41" s="96"/>
    </row>
    <row r="42" spans="1:7" ht="15.75" customHeight="1" x14ac:dyDescent="0.2">
      <c r="A42" s="102"/>
      <c r="B42" s="96"/>
      <c r="C42" s="96"/>
      <c r="D42" s="95"/>
      <c r="E42" s="100"/>
      <c r="F42" s="103"/>
      <c r="G42" s="96"/>
    </row>
    <row r="43" spans="1:7" ht="15.75" customHeight="1" x14ac:dyDescent="0.2">
      <c r="A43" s="102"/>
      <c r="B43" s="96"/>
      <c r="C43" s="101"/>
      <c r="D43" s="95"/>
      <c r="E43" s="100"/>
      <c r="F43" s="99"/>
      <c r="G43" s="98"/>
    </row>
    <row r="44" spans="1:7" ht="15.75" customHeight="1" x14ac:dyDescent="0.2">
      <c r="A44" s="97"/>
      <c r="B44" s="96"/>
      <c r="C44" s="92"/>
      <c r="D44" s="95"/>
      <c r="E44" s="94"/>
      <c r="F44" s="93"/>
      <c r="G44" s="92"/>
    </row>
    <row r="45" spans="1:7" ht="15.75" customHeight="1" x14ac:dyDescent="0.2">
      <c r="A45" s="89"/>
      <c r="B45" s="89"/>
      <c r="C45" s="89"/>
      <c r="D45" s="89"/>
      <c r="E45" s="91"/>
      <c r="F45" s="89"/>
      <c r="G45" s="88"/>
    </row>
    <row r="46" spans="1:7" ht="15.75" customHeight="1" x14ac:dyDescent="0.2">
      <c r="A46" s="89"/>
      <c r="B46" s="89"/>
      <c r="C46" s="89"/>
      <c r="D46" s="89"/>
      <c r="E46" s="91"/>
      <c r="F46" s="89"/>
      <c r="G46" s="88"/>
    </row>
    <row r="47" spans="1:7" ht="15.75" customHeight="1" x14ac:dyDescent="0.2">
      <c r="A47" s="89"/>
      <c r="B47" s="89"/>
      <c r="C47" s="89"/>
      <c r="D47" s="89"/>
      <c r="E47" s="91"/>
      <c r="F47" s="89"/>
      <c r="G47" s="88"/>
    </row>
    <row r="48" spans="1:7" ht="15.75" customHeight="1" x14ac:dyDescent="0.2">
      <c r="A48" s="89"/>
      <c r="B48" s="89"/>
      <c r="C48" s="89"/>
      <c r="D48" s="89"/>
      <c r="E48" s="90"/>
      <c r="F48" s="89"/>
      <c r="G48" s="88"/>
    </row>
    <row r="49" spans="1:7" ht="15.75" customHeight="1" x14ac:dyDescent="0.2">
      <c r="A49" s="89"/>
      <c r="B49" s="89"/>
      <c r="C49" s="89"/>
      <c r="D49" s="89"/>
      <c r="E49" s="90"/>
      <c r="F49" s="89"/>
      <c r="G49" s="88"/>
    </row>
    <row r="50" spans="1:7" ht="15.75" customHeight="1" x14ac:dyDescent="0.2">
      <c r="A50" s="89"/>
      <c r="B50" s="89"/>
      <c r="C50" s="89"/>
      <c r="D50" s="89"/>
      <c r="E50" s="90"/>
      <c r="F50" s="89"/>
      <c r="G50" s="88"/>
    </row>
    <row r="51" spans="1:7" ht="15.75" customHeight="1" x14ac:dyDescent="0.2">
      <c r="A51" s="89"/>
      <c r="B51" s="89"/>
      <c r="C51" s="89"/>
      <c r="D51" s="89"/>
      <c r="E51" s="90"/>
      <c r="F51" s="89"/>
      <c r="G51" s="88"/>
    </row>
    <row r="52" spans="1:7" ht="15.75" customHeight="1" x14ac:dyDescent="0.2">
      <c r="A52" s="89"/>
      <c r="B52" s="89"/>
      <c r="C52" s="89"/>
      <c r="D52" s="89"/>
      <c r="E52" s="90"/>
      <c r="F52" s="89"/>
      <c r="G52" s="88"/>
    </row>
    <row r="53" spans="1:7" ht="15.75" customHeight="1" x14ac:dyDescent="0.2">
      <c r="A53" s="89"/>
      <c r="B53" s="89"/>
      <c r="C53" s="89"/>
      <c r="D53" s="89"/>
      <c r="E53" s="90"/>
      <c r="F53" s="89"/>
      <c r="G53" s="88"/>
    </row>
    <row r="54" spans="1:7" ht="15.75" customHeight="1" x14ac:dyDescent="0.2">
      <c r="A54" s="89"/>
      <c r="B54" s="89"/>
      <c r="C54" s="89"/>
      <c r="D54" s="89"/>
      <c r="E54" s="90"/>
      <c r="F54" s="89"/>
      <c r="G54" s="88"/>
    </row>
    <row r="55" spans="1:7" ht="15.75" customHeight="1" x14ac:dyDescent="0.2">
      <c r="A55" s="89"/>
      <c r="B55" s="89"/>
      <c r="C55" s="89"/>
      <c r="D55" s="89"/>
      <c r="E55" s="90"/>
      <c r="F55" s="89"/>
      <c r="G55" s="88"/>
    </row>
    <row r="56" spans="1:7" ht="15.75" customHeight="1" x14ac:dyDescent="0.2">
      <c r="A56" s="89"/>
      <c r="B56" s="89"/>
      <c r="C56" s="89"/>
      <c r="D56" s="89"/>
      <c r="E56" s="90"/>
      <c r="F56" s="89"/>
      <c r="G56" s="88"/>
    </row>
    <row r="57" spans="1:7" ht="15.75" customHeight="1" x14ac:dyDescent="0.2">
      <c r="A57" s="89"/>
      <c r="B57" s="89"/>
      <c r="C57" s="89"/>
      <c r="D57" s="89"/>
      <c r="E57" s="90"/>
      <c r="F57" s="89"/>
      <c r="G57" s="88"/>
    </row>
    <row r="58" spans="1:7" ht="15.75" customHeight="1" x14ac:dyDescent="0.2">
      <c r="A58" s="89"/>
      <c r="B58" s="89"/>
      <c r="C58" s="89"/>
      <c r="D58" s="89"/>
      <c r="E58" s="90"/>
      <c r="F58" s="89"/>
      <c r="G58" s="88"/>
    </row>
    <row r="59" spans="1:7" ht="15.75" customHeight="1" x14ac:dyDescent="0.2">
      <c r="A59" s="89"/>
      <c r="B59" s="89"/>
      <c r="C59" s="89"/>
      <c r="D59" s="89"/>
      <c r="E59" s="90"/>
      <c r="F59" s="89"/>
      <c r="G59" s="88"/>
    </row>
    <row r="60" spans="1:7" ht="15.75" customHeight="1" x14ac:dyDescent="0.2">
      <c r="A60" s="89"/>
      <c r="B60" s="89"/>
      <c r="C60" s="89"/>
      <c r="D60" s="89"/>
      <c r="E60" s="90"/>
      <c r="F60" s="89"/>
      <c r="G60" s="88"/>
    </row>
    <row r="61" spans="1:7" ht="15.75" customHeight="1" x14ac:dyDescent="0.2">
      <c r="A61" s="89"/>
      <c r="B61" s="89"/>
      <c r="C61" s="89"/>
      <c r="D61" s="89"/>
      <c r="E61" s="90"/>
      <c r="F61" s="89"/>
      <c r="G61" s="88"/>
    </row>
    <row r="62" spans="1:7" ht="15.75" customHeight="1" x14ac:dyDescent="0.2">
      <c r="A62" s="89"/>
      <c r="B62" s="89"/>
      <c r="C62" s="89"/>
      <c r="D62" s="89"/>
      <c r="E62" s="90"/>
      <c r="F62" s="89"/>
      <c r="G62" s="88"/>
    </row>
    <row r="63" spans="1:7" ht="15.75" customHeight="1" x14ac:dyDescent="0.2">
      <c r="A63" s="89"/>
      <c r="B63" s="89"/>
      <c r="C63" s="89"/>
      <c r="D63" s="89"/>
      <c r="E63" s="90"/>
      <c r="F63" s="89"/>
      <c r="G63" s="88"/>
    </row>
    <row r="64" spans="1:7" ht="15.75" customHeight="1" x14ac:dyDescent="0.2">
      <c r="A64" s="89"/>
      <c r="B64" s="89"/>
      <c r="C64" s="89"/>
      <c r="D64" s="89"/>
      <c r="E64" s="90"/>
      <c r="F64" s="89"/>
      <c r="G64" s="88"/>
    </row>
    <row r="65" spans="1:7" ht="15.75" customHeight="1" x14ac:dyDescent="0.2">
      <c r="A65" s="89"/>
      <c r="B65" s="89"/>
      <c r="C65" s="89"/>
      <c r="D65" s="89"/>
      <c r="E65" s="90"/>
      <c r="F65" s="89"/>
      <c r="G65" s="88"/>
    </row>
    <row r="66" spans="1:7" ht="15.75" customHeight="1" x14ac:dyDescent="0.2">
      <c r="A66" s="89"/>
      <c r="B66" s="89"/>
      <c r="C66" s="89"/>
      <c r="D66" s="89"/>
      <c r="E66" s="90"/>
      <c r="F66" s="89"/>
      <c r="G66" s="88"/>
    </row>
    <row r="67" spans="1:7" ht="15.75" customHeight="1" x14ac:dyDescent="0.2">
      <c r="A67" s="86"/>
      <c r="B67" s="86"/>
      <c r="C67" s="86"/>
      <c r="D67" s="86"/>
      <c r="E67" s="87"/>
      <c r="F67" s="86"/>
      <c r="G67" s="85"/>
    </row>
    <row r="68" spans="1:7" ht="15.75" customHeight="1" x14ac:dyDescent="0.2">
      <c r="A68" s="86"/>
      <c r="B68" s="86"/>
      <c r="C68" s="86"/>
      <c r="D68" s="86"/>
      <c r="E68" s="87"/>
      <c r="F68" s="86"/>
      <c r="G68" s="85"/>
    </row>
    <row r="69" spans="1:7" ht="15.75" customHeight="1" x14ac:dyDescent="0.2">
      <c r="A69" s="86"/>
      <c r="B69" s="86"/>
      <c r="C69" s="86"/>
      <c r="D69" s="86"/>
      <c r="E69" s="87"/>
      <c r="F69" s="86"/>
      <c r="G69" s="85"/>
    </row>
    <row r="70" spans="1:7" ht="15.75" customHeight="1" x14ac:dyDescent="0.2">
      <c r="A70" s="86"/>
      <c r="B70" s="86"/>
      <c r="C70" s="86"/>
      <c r="D70" s="86"/>
      <c r="E70" s="87"/>
      <c r="F70" s="86"/>
      <c r="G70" s="85"/>
    </row>
    <row r="71" spans="1:7" ht="15.75" customHeight="1" x14ac:dyDescent="0.2">
      <c r="A71" s="86"/>
      <c r="B71" s="86"/>
      <c r="C71" s="86"/>
      <c r="D71" s="86"/>
      <c r="E71" s="87"/>
      <c r="F71" s="86"/>
      <c r="G71" s="85"/>
    </row>
    <row r="72" spans="1:7" ht="15.75" customHeight="1" x14ac:dyDescent="0.2">
      <c r="A72" s="86"/>
      <c r="B72" s="86"/>
      <c r="C72" s="86"/>
      <c r="D72" s="86"/>
      <c r="E72" s="87"/>
      <c r="F72" s="86"/>
      <c r="G72" s="85"/>
    </row>
    <row r="73" spans="1:7" ht="15.75" customHeight="1" x14ac:dyDescent="0.2">
      <c r="A73" s="86"/>
      <c r="B73" s="86"/>
      <c r="C73" s="86"/>
      <c r="D73" s="86"/>
      <c r="E73" s="87"/>
      <c r="F73" s="86"/>
      <c r="G73" s="85"/>
    </row>
    <row r="74" spans="1:7" ht="15.75" customHeight="1" x14ac:dyDescent="0.2">
      <c r="A74" s="86"/>
      <c r="B74" s="86"/>
      <c r="C74" s="86"/>
      <c r="D74" s="86"/>
      <c r="E74" s="87"/>
      <c r="F74" s="86"/>
      <c r="G74" s="85"/>
    </row>
    <row r="75" spans="1:7" ht="15.75" customHeight="1" x14ac:dyDescent="0.2">
      <c r="A75" s="86"/>
      <c r="B75" s="86"/>
      <c r="C75" s="86"/>
      <c r="D75" s="86"/>
      <c r="E75" s="87"/>
      <c r="F75" s="86"/>
      <c r="G75" s="85"/>
    </row>
    <row r="76" spans="1:7" ht="15.75" customHeight="1" x14ac:dyDescent="0.2">
      <c r="A76" s="86"/>
      <c r="B76" s="86"/>
      <c r="C76" s="86"/>
      <c r="D76" s="86"/>
      <c r="E76" s="87"/>
      <c r="F76" s="86"/>
      <c r="G76" s="85"/>
    </row>
    <row r="77" spans="1:7" ht="15.75" customHeight="1" x14ac:dyDescent="0.2">
      <c r="A77" s="86"/>
      <c r="B77" s="86"/>
      <c r="C77" s="86"/>
      <c r="D77" s="86"/>
      <c r="E77" s="87"/>
      <c r="F77" s="86"/>
      <c r="G77" s="85"/>
    </row>
    <row r="78" spans="1:7" ht="15.75" customHeight="1" x14ac:dyDescent="0.2">
      <c r="A78" s="86"/>
      <c r="B78" s="86"/>
      <c r="C78" s="86"/>
      <c r="D78" s="86"/>
      <c r="E78" s="87"/>
      <c r="F78" s="86"/>
      <c r="G78" s="85"/>
    </row>
    <row r="79" spans="1:7" ht="15.75" customHeight="1" x14ac:dyDescent="0.2">
      <c r="A79" s="86"/>
      <c r="B79" s="86"/>
      <c r="C79" s="86"/>
      <c r="D79" s="86"/>
      <c r="E79" s="87"/>
      <c r="F79" s="86"/>
      <c r="G79" s="85"/>
    </row>
    <row r="80" spans="1:7" ht="15.75" customHeight="1" x14ac:dyDescent="0.2">
      <c r="A80" s="86"/>
      <c r="B80" s="86"/>
      <c r="C80" s="86"/>
      <c r="D80" s="86"/>
      <c r="E80" s="87"/>
      <c r="F80" s="86"/>
      <c r="G80" s="85"/>
    </row>
    <row r="81" spans="1:7" ht="15.75" customHeight="1" x14ac:dyDescent="0.2">
      <c r="A81" s="86"/>
      <c r="B81" s="86"/>
      <c r="C81" s="86"/>
      <c r="D81" s="86"/>
      <c r="E81" s="87"/>
      <c r="F81" s="86"/>
      <c r="G81" s="85"/>
    </row>
    <row r="82" spans="1:7" ht="15.75" customHeight="1" x14ac:dyDescent="0.2">
      <c r="A82" s="86"/>
      <c r="B82" s="86"/>
      <c r="C82" s="86"/>
      <c r="D82" s="86"/>
      <c r="E82" s="87"/>
      <c r="F82" s="86"/>
      <c r="G82" s="85"/>
    </row>
    <row r="83" spans="1:7" ht="15.75" customHeight="1" x14ac:dyDescent="0.2">
      <c r="A83" s="86"/>
      <c r="B83" s="86"/>
      <c r="C83" s="86"/>
      <c r="D83" s="86"/>
      <c r="E83" s="87"/>
      <c r="F83" s="86"/>
      <c r="G83" s="85"/>
    </row>
    <row r="84" spans="1:7" ht="15.75" customHeight="1" x14ac:dyDescent="0.2">
      <c r="A84" s="86"/>
      <c r="B84" s="86"/>
      <c r="C84" s="86"/>
      <c r="D84" s="86"/>
      <c r="E84" s="87"/>
      <c r="F84" s="86"/>
      <c r="G84" s="85"/>
    </row>
    <row r="85" spans="1:7" ht="15.75" customHeight="1" x14ac:dyDescent="0.2">
      <c r="A85" s="86"/>
      <c r="B85" s="86"/>
      <c r="C85" s="86"/>
      <c r="D85" s="86"/>
      <c r="E85" s="87"/>
      <c r="F85" s="86"/>
      <c r="G85" s="85"/>
    </row>
    <row r="86" spans="1:7" ht="15.75" customHeight="1" x14ac:dyDescent="0.2">
      <c r="A86" s="86"/>
      <c r="B86" s="86"/>
      <c r="C86" s="86"/>
      <c r="D86" s="86"/>
      <c r="E86" s="87"/>
      <c r="F86" s="86"/>
      <c r="G86" s="85"/>
    </row>
    <row r="87" spans="1:7" ht="15.75" customHeight="1" x14ac:dyDescent="0.2">
      <c r="A87" s="86"/>
      <c r="B87" s="86"/>
      <c r="C87" s="86"/>
      <c r="D87" s="86"/>
      <c r="E87" s="87"/>
      <c r="F87" s="86"/>
      <c r="G87" s="85"/>
    </row>
    <row r="88" spans="1:7" ht="15.75" customHeight="1" x14ac:dyDescent="0.2">
      <c r="A88" s="86"/>
      <c r="B88" s="86"/>
      <c r="C88" s="86"/>
      <c r="D88" s="86"/>
      <c r="E88" s="87"/>
      <c r="F88" s="86"/>
      <c r="G88" s="85"/>
    </row>
    <row r="89" spans="1:7" ht="15.75" customHeight="1" x14ac:dyDescent="0.2">
      <c r="A89" s="86"/>
      <c r="B89" s="86"/>
      <c r="C89" s="86"/>
      <c r="D89" s="86"/>
      <c r="E89" s="87"/>
      <c r="F89" s="86"/>
      <c r="G89" s="85"/>
    </row>
    <row r="90" spans="1:7" ht="15.75" customHeight="1" x14ac:dyDescent="0.2"/>
    <row r="91" spans="1:7" ht="15.75" customHeight="1" x14ac:dyDescent="0.2"/>
    <row r="92" spans="1:7" ht="15.75" customHeight="1" x14ac:dyDescent="0.2"/>
    <row r="93" spans="1:7" ht="15.75" customHeight="1" x14ac:dyDescent="0.2"/>
    <row r="94" spans="1:7" ht="15.75" customHeight="1" x14ac:dyDescent="0.2"/>
    <row r="95" spans="1:7" ht="15.75" customHeight="1" x14ac:dyDescent="0.2"/>
    <row r="96" spans="1:7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3">
    <mergeCell ref="A1:G1"/>
    <mergeCell ref="B2:G4"/>
    <mergeCell ref="A5:G6"/>
  </mergeCells>
  <dataValidations count="1">
    <dataValidation type="list" allowBlank="1" showErrorMessage="1" sqref="F8:G66" xr:uid="{DBA46F22-8F2E-4784-BAE4-FE135B51237D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FBD-1081-40E8-9A50-6D0D72D43BE4}">
  <sheetPr codeName="Hoja6">
    <pageSetUpPr fitToPage="1"/>
  </sheetPr>
  <dimension ref="A1:Z1000"/>
  <sheetViews>
    <sheetView showGridLines="0" workbookViewId="0">
      <selection activeCell="B8" sqref="B8:G15"/>
    </sheetView>
  </sheetViews>
  <sheetFormatPr baseColWidth="10" defaultColWidth="12.625" defaultRowHeight="15" customHeight="1" x14ac:dyDescent="0.2"/>
  <cols>
    <col min="1" max="1" width="2.5" style="84" customWidth="1"/>
    <col min="2" max="2" width="13.875" style="84" customWidth="1"/>
    <col min="3" max="3" width="27.125" style="84" customWidth="1"/>
    <col min="4" max="4" width="22.875" style="84" customWidth="1"/>
    <col min="5" max="5" width="79.875" style="84" customWidth="1"/>
    <col min="6" max="6" width="12.75" style="84" customWidth="1"/>
    <col min="7" max="7" width="14.75" style="84" customWidth="1"/>
    <col min="8" max="16384" width="12.625" style="84"/>
  </cols>
  <sheetData>
    <row r="1" spans="1:26" ht="12.75" customHeight="1" x14ac:dyDescent="0.2">
      <c r="A1" s="159"/>
      <c r="B1" s="160"/>
      <c r="C1" s="160"/>
      <c r="D1" s="160"/>
      <c r="E1" s="160"/>
      <c r="F1" s="160"/>
      <c r="G1" s="160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6" ht="12.75" x14ac:dyDescent="0.2">
      <c r="A2" s="111"/>
      <c r="B2" s="161" t="s">
        <v>34</v>
      </c>
      <c r="C2" s="162"/>
      <c r="D2" s="162"/>
      <c r="E2" s="162"/>
      <c r="F2" s="162"/>
      <c r="G2" s="163"/>
    </row>
    <row r="3" spans="1:26" ht="12.75" x14ac:dyDescent="0.2">
      <c r="A3" s="111"/>
      <c r="B3" s="164"/>
      <c r="C3" s="160"/>
      <c r="D3" s="160"/>
      <c r="E3" s="160"/>
      <c r="F3" s="160"/>
      <c r="G3" s="165"/>
    </row>
    <row r="4" spans="1:26" ht="12.75" x14ac:dyDescent="0.2">
      <c r="A4" s="111"/>
      <c r="B4" s="166"/>
      <c r="C4" s="167"/>
      <c r="D4" s="167"/>
      <c r="E4" s="167"/>
      <c r="F4" s="167"/>
      <c r="G4" s="168"/>
    </row>
    <row r="5" spans="1:26" ht="12.75" x14ac:dyDescent="0.2">
      <c r="A5" s="159"/>
      <c r="B5" s="160"/>
      <c r="C5" s="160"/>
      <c r="D5" s="160"/>
      <c r="E5" s="160"/>
      <c r="F5" s="160"/>
      <c r="G5" s="160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</row>
    <row r="6" spans="1:26" ht="12.75" x14ac:dyDescent="0.2">
      <c r="A6" s="160"/>
      <c r="B6" s="160"/>
      <c r="C6" s="160"/>
      <c r="D6" s="160"/>
      <c r="E6" s="160"/>
      <c r="F6" s="160"/>
      <c r="G6" s="160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</row>
    <row r="7" spans="1:26" ht="30" x14ac:dyDescent="0.2">
      <c r="A7" s="111"/>
      <c r="B7" s="113" t="s">
        <v>35</v>
      </c>
      <c r="C7" s="113" t="s">
        <v>36</v>
      </c>
      <c r="D7" s="113" t="s">
        <v>37</v>
      </c>
      <c r="E7" s="114" t="s">
        <v>38</v>
      </c>
      <c r="F7" s="113" t="s">
        <v>39</v>
      </c>
      <c r="G7" s="115" t="s">
        <v>40</v>
      </c>
    </row>
    <row r="8" spans="1:26" ht="21" customHeight="1" x14ac:dyDescent="0.2">
      <c r="A8" s="97"/>
      <c r="B8" s="110"/>
      <c r="C8" s="110"/>
      <c r="D8" s="103"/>
      <c r="E8" s="109"/>
      <c r="F8" s="103"/>
      <c r="G8" s="96"/>
    </row>
    <row r="9" spans="1:26" ht="15.75" x14ac:dyDescent="0.2">
      <c r="A9" s="97"/>
      <c r="B9" s="110"/>
      <c r="C9" s="110"/>
      <c r="D9" s="103"/>
      <c r="E9" s="109"/>
      <c r="F9" s="103"/>
      <c r="G9" s="96"/>
    </row>
    <row r="10" spans="1:26" ht="15.75" x14ac:dyDescent="0.2">
      <c r="A10" s="97"/>
      <c r="B10" s="110"/>
      <c r="C10" s="110"/>
      <c r="D10" s="103"/>
      <c r="E10" s="109"/>
      <c r="F10" s="103"/>
      <c r="G10" s="96"/>
    </row>
    <row r="11" spans="1:26" ht="15.75" x14ac:dyDescent="0.2">
      <c r="A11" s="97"/>
      <c r="B11" s="110"/>
      <c r="C11" s="110"/>
      <c r="D11" s="103"/>
      <c r="E11" s="109"/>
      <c r="F11" s="103"/>
      <c r="G11" s="96"/>
    </row>
    <row r="12" spans="1:26" ht="15.75" x14ac:dyDescent="0.2">
      <c r="A12" s="97"/>
      <c r="B12" s="110"/>
      <c r="C12" s="110"/>
      <c r="D12" s="103"/>
      <c r="E12" s="109"/>
      <c r="F12" s="103"/>
      <c r="G12" s="96"/>
    </row>
    <row r="13" spans="1:26" ht="15.75" x14ac:dyDescent="0.2">
      <c r="A13" s="97"/>
      <c r="B13" s="110"/>
      <c r="C13" s="110"/>
      <c r="D13" s="103"/>
      <c r="E13" s="109"/>
      <c r="F13" s="103"/>
      <c r="G13" s="96"/>
    </row>
    <row r="14" spans="1:26" ht="15.75" x14ac:dyDescent="0.2">
      <c r="A14" s="97"/>
      <c r="B14" s="110"/>
      <c r="C14" s="110"/>
      <c r="D14" s="103"/>
      <c r="E14" s="109"/>
      <c r="F14" s="108"/>
      <c r="G14" s="96"/>
    </row>
    <row r="15" spans="1:26" x14ac:dyDescent="0.2">
      <c r="A15" s="97"/>
      <c r="B15" s="96"/>
      <c r="C15" s="96"/>
      <c r="D15" s="95"/>
      <c r="E15" s="107"/>
      <c r="F15" s="106"/>
      <c r="G15" s="95"/>
    </row>
    <row r="16" spans="1:26" ht="15.75" x14ac:dyDescent="0.2">
      <c r="A16" s="97"/>
      <c r="B16" s="96"/>
      <c r="C16" s="96"/>
      <c r="D16" s="95"/>
      <c r="E16" s="100"/>
      <c r="F16" s="103"/>
      <c r="G16" s="96"/>
    </row>
    <row r="17" spans="1:7" ht="15.75" x14ac:dyDescent="0.2">
      <c r="A17" s="97"/>
      <c r="B17" s="96"/>
      <c r="C17" s="96"/>
      <c r="D17" s="95"/>
      <c r="E17" s="100"/>
      <c r="F17" s="103"/>
      <c r="G17" s="96"/>
    </row>
    <row r="18" spans="1:7" ht="15.75" x14ac:dyDescent="0.2">
      <c r="A18" s="97"/>
      <c r="B18" s="96"/>
      <c r="C18" s="96"/>
      <c r="D18" s="95"/>
      <c r="E18" s="100"/>
      <c r="F18" s="103"/>
      <c r="G18" s="96"/>
    </row>
    <row r="19" spans="1:7" ht="15.75" x14ac:dyDescent="0.2">
      <c r="A19" s="97"/>
      <c r="B19" s="96"/>
      <c r="C19" s="96"/>
      <c r="D19" s="95"/>
      <c r="E19" s="100"/>
      <c r="F19" s="103"/>
      <c r="G19" s="96"/>
    </row>
    <row r="20" spans="1:7" ht="15.75" x14ac:dyDescent="0.2">
      <c r="A20" s="97"/>
      <c r="B20" s="96"/>
      <c r="C20" s="96"/>
      <c r="D20" s="95"/>
      <c r="E20" s="100"/>
      <c r="F20" s="103"/>
      <c r="G20" s="96"/>
    </row>
    <row r="21" spans="1:7" ht="15.75" customHeight="1" x14ac:dyDescent="0.2">
      <c r="A21" s="105"/>
      <c r="B21" s="96"/>
      <c r="C21" s="96"/>
      <c r="D21" s="95"/>
      <c r="E21" s="100"/>
      <c r="F21" s="103"/>
      <c r="G21" s="96"/>
    </row>
    <row r="22" spans="1:7" ht="15.75" customHeight="1" x14ac:dyDescent="0.2">
      <c r="A22" s="105"/>
      <c r="B22" s="96"/>
      <c r="C22" s="96"/>
      <c r="D22" s="95"/>
      <c r="E22" s="100"/>
      <c r="F22" s="103"/>
      <c r="G22" s="96"/>
    </row>
    <row r="23" spans="1:7" ht="15.75" customHeight="1" x14ac:dyDescent="0.2">
      <c r="A23" s="105"/>
      <c r="B23" s="96"/>
      <c r="C23" s="96"/>
      <c r="D23" s="95"/>
      <c r="E23" s="100"/>
      <c r="F23" s="103"/>
      <c r="G23" s="96"/>
    </row>
    <row r="24" spans="1:7" ht="15.75" customHeight="1" x14ac:dyDescent="0.2">
      <c r="A24" s="104"/>
      <c r="B24" s="96"/>
      <c r="C24" s="96"/>
      <c r="D24" s="95"/>
      <c r="E24" s="100"/>
      <c r="F24" s="103"/>
      <c r="G24" s="96"/>
    </row>
    <row r="25" spans="1:7" ht="15.75" customHeight="1" x14ac:dyDescent="0.2">
      <c r="A25" s="104"/>
      <c r="B25" s="96"/>
      <c r="C25" s="96"/>
      <c r="D25" s="95"/>
      <c r="E25" s="100"/>
      <c r="F25" s="103"/>
      <c r="G25" s="96"/>
    </row>
    <row r="26" spans="1:7" ht="15.75" customHeight="1" x14ac:dyDescent="0.2">
      <c r="A26" s="104"/>
      <c r="B26" s="96"/>
      <c r="C26" s="96"/>
      <c r="D26" s="95"/>
      <c r="E26" s="100"/>
      <c r="F26" s="103"/>
      <c r="G26" s="96"/>
    </row>
    <row r="27" spans="1:7" ht="15.75" customHeight="1" x14ac:dyDescent="0.2">
      <c r="A27" s="104"/>
      <c r="B27" s="96"/>
      <c r="C27" s="96"/>
      <c r="D27" s="95"/>
      <c r="E27" s="100"/>
      <c r="F27" s="103"/>
      <c r="G27" s="96"/>
    </row>
    <row r="28" spans="1:7" ht="15.75" customHeight="1" x14ac:dyDescent="0.2">
      <c r="A28" s="104"/>
      <c r="B28" s="96"/>
      <c r="C28" s="96"/>
      <c r="D28" s="95"/>
      <c r="E28" s="100"/>
      <c r="F28" s="103"/>
      <c r="G28" s="96"/>
    </row>
    <row r="29" spans="1:7" ht="15.75" customHeight="1" x14ac:dyDescent="0.2">
      <c r="A29" s="104"/>
      <c r="B29" s="96"/>
      <c r="C29" s="96"/>
      <c r="D29" s="95"/>
      <c r="E29" s="100"/>
      <c r="F29" s="103"/>
      <c r="G29" s="96"/>
    </row>
    <row r="30" spans="1:7" ht="30" customHeight="1" x14ac:dyDescent="0.2">
      <c r="A30" s="104" t="s">
        <v>49</v>
      </c>
      <c r="B30" s="96"/>
      <c r="C30" s="96"/>
      <c r="D30" s="95"/>
      <c r="E30" s="100"/>
      <c r="F30" s="103"/>
      <c r="G30" s="96"/>
    </row>
    <row r="31" spans="1:7" ht="15.75" customHeight="1" x14ac:dyDescent="0.2">
      <c r="A31" s="102"/>
      <c r="B31" s="96"/>
      <c r="C31" s="96"/>
      <c r="D31" s="95"/>
      <c r="E31" s="100"/>
      <c r="F31" s="103"/>
      <c r="G31" s="96"/>
    </row>
    <row r="32" spans="1:7" ht="15.75" customHeight="1" x14ac:dyDescent="0.2">
      <c r="A32" s="102"/>
      <c r="B32" s="96"/>
      <c r="C32" s="96"/>
      <c r="D32" s="95"/>
      <c r="E32" s="100"/>
      <c r="F32" s="103"/>
      <c r="G32" s="96"/>
    </row>
    <row r="33" spans="1:7" ht="15.75" customHeight="1" x14ac:dyDescent="0.2">
      <c r="A33" s="102"/>
      <c r="B33" s="96"/>
      <c r="C33" s="96"/>
      <c r="D33" s="95"/>
      <c r="E33" s="100"/>
      <c r="F33" s="103"/>
      <c r="G33" s="96"/>
    </row>
    <row r="34" spans="1:7" ht="15.75" customHeight="1" x14ac:dyDescent="0.2">
      <c r="A34" s="102"/>
      <c r="B34" s="96"/>
      <c r="C34" s="96"/>
      <c r="D34" s="95"/>
      <c r="E34" s="100"/>
      <c r="F34" s="103"/>
      <c r="G34" s="96"/>
    </row>
    <row r="35" spans="1:7" ht="15.75" customHeight="1" x14ac:dyDescent="0.2">
      <c r="A35" s="102"/>
      <c r="B35" s="96"/>
      <c r="C35" s="96"/>
      <c r="D35" s="95"/>
      <c r="E35" s="100"/>
      <c r="F35" s="103"/>
      <c r="G35" s="96"/>
    </row>
    <row r="36" spans="1:7" ht="15.75" customHeight="1" x14ac:dyDescent="0.2">
      <c r="A36" s="102"/>
      <c r="B36" s="96"/>
      <c r="C36" s="96"/>
      <c r="D36" s="95"/>
      <c r="E36" s="100"/>
      <c r="F36" s="103"/>
      <c r="G36" s="96"/>
    </row>
    <row r="37" spans="1:7" ht="15.75" customHeight="1" x14ac:dyDescent="0.2">
      <c r="A37" s="102"/>
      <c r="B37" s="96"/>
      <c r="C37" s="96"/>
      <c r="D37" s="95"/>
      <c r="E37" s="100"/>
      <c r="F37" s="103"/>
      <c r="G37" s="96"/>
    </row>
    <row r="38" spans="1:7" ht="15.75" customHeight="1" x14ac:dyDescent="0.2">
      <c r="A38" s="102"/>
      <c r="B38" s="96"/>
      <c r="C38" s="96"/>
      <c r="D38" s="95"/>
      <c r="E38" s="100"/>
      <c r="F38" s="103"/>
      <c r="G38" s="96"/>
    </row>
    <row r="39" spans="1:7" ht="15.75" customHeight="1" x14ac:dyDescent="0.2">
      <c r="A39" s="102"/>
      <c r="B39" s="96"/>
      <c r="C39" s="96"/>
      <c r="D39" s="95"/>
      <c r="E39" s="100"/>
      <c r="F39" s="103"/>
      <c r="G39" s="96"/>
    </row>
    <row r="40" spans="1:7" ht="15.75" customHeight="1" x14ac:dyDescent="0.2">
      <c r="A40" s="102"/>
      <c r="B40" s="96"/>
      <c r="C40" s="96"/>
      <c r="D40" s="95"/>
      <c r="E40" s="100"/>
      <c r="F40" s="103"/>
      <c r="G40" s="96"/>
    </row>
    <row r="41" spans="1:7" ht="15.75" customHeight="1" x14ac:dyDescent="0.2">
      <c r="A41" s="102"/>
      <c r="B41" s="96"/>
      <c r="C41" s="96"/>
      <c r="D41" s="95"/>
      <c r="E41" s="100"/>
      <c r="F41" s="103"/>
      <c r="G41" s="96"/>
    </row>
    <row r="42" spans="1:7" ht="15.75" customHeight="1" x14ac:dyDescent="0.2">
      <c r="A42" s="102"/>
      <c r="B42" s="96"/>
      <c r="C42" s="96"/>
      <c r="D42" s="95"/>
      <c r="E42" s="100"/>
      <c r="F42" s="103"/>
      <c r="G42" s="96"/>
    </row>
    <row r="43" spans="1:7" ht="15.75" customHeight="1" x14ac:dyDescent="0.2">
      <c r="A43" s="102"/>
      <c r="B43" s="96"/>
      <c r="C43" s="101"/>
      <c r="D43" s="95"/>
      <c r="E43" s="100"/>
      <c r="F43" s="99"/>
      <c r="G43" s="98"/>
    </row>
    <row r="44" spans="1:7" ht="15.75" customHeight="1" x14ac:dyDescent="0.2">
      <c r="A44" s="97"/>
      <c r="B44" s="96"/>
      <c r="C44" s="92"/>
      <c r="D44" s="95"/>
      <c r="E44" s="94"/>
      <c r="F44" s="93"/>
      <c r="G44" s="92"/>
    </row>
    <row r="45" spans="1:7" ht="15.75" customHeight="1" x14ac:dyDescent="0.2">
      <c r="A45" s="89"/>
      <c r="B45" s="89"/>
      <c r="C45" s="89"/>
      <c r="D45" s="89"/>
      <c r="E45" s="91"/>
      <c r="F45" s="89"/>
      <c r="G45" s="88"/>
    </row>
    <row r="46" spans="1:7" ht="15.75" customHeight="1" x14ac:dyDescent="0.2">
      <c r="A46" s="89"/>
      <c r="B46" s="89"/>
      <c r="C46" s="89"/>
      <c r="D46" s="89"/>
      <c r="E46" s="91"/>
      <c r="F46" s="89"/>
      <c r="G46" s="88"/>
    </row>
    <row r="47" spans="1:7" ht="15.75" customHeight="1" x14ac:dyDescent="0.2">
      <c r="A47" s="89"/>
      <c r="B47" s="89"/>
      <c r="C47" s="89"/>
      <c r="D47" s="89"/>
      <c r="E47" s="91"/>
      <c r="F47" s="89"/>
      <c r="G47" s="88"/>
    </row>
    <row r="48" spans="1:7" ht="15.75" customHeight="1" x14ac:dyDescent="0.2">
      <c r="A48" s="89"/>
      <c r="B48" s="89"/>
      <c r="C48" s="89"/>
      <c r="D48" s="89"/>
      <c r="E48" s="90"/>
      <c r="F48" s="89"/>
      <c r="G48" s="88"/>
    </row>
    <row r="49" spans="1:7" ht="15.75" customHeight="1" x14ac:dyDescent="0.2">
      <c r="A49" s="89"/>
      <c r="B49" s="89"/>
      <c r="C49" s="89"/>
      <c r="D49" s="89"/>
      <c r="E49" s="90"/>
      <c r="F49" s="89"/>
      <c r="G49" s="88"/>
    </row>
    <row r="50" spans="1:7" ht="15.75" customHeight="1" x14ac:dyDescent="0.2">
      <c r="A50" s="89"/>
      <c r="B50" s="89"/>
      <c r="C50" s="89"/>
      <c r="D50" s="89"/>
      <c r="E50" s="90"/>
      <c r="F50" s="89"/>
      <c r="G50" s="88"/>
    </row>
    <row r="51" spans="1:7" ht="15.75" customHeight="1" x14ac:dyDescent="0.2">
      <c r="A51" s="89"/>
      <c r="B51" s="89"/>
      <c r="C51" s="89"/>
      <c r="D51" s="89"/>
      <c r="E51" s="90"/>
      <c r="F51" s="89"/>
      <c r="G51" s="88"/>
    </row>
    <row r="52" spans="1:7" ht="15.75" customHeight="1" x14ac:dyDescent="0.2">
      <c r="A52" s="89"/>
      <c r="B52" s="89"/>
      <c r="C52" s="89"/>
      <c r="D52" s="89"/>
      <c r="E52" s="90"/>
      <c r="F52" s="89"/>
      <c r="G52" s="88"/>
    </row>
    <row r="53" spans="1:7" ht="15.75" customHeight="1" x14ac:dyDescent="0.2">
      <c r="A53" s="89"/>
      <c r="B53" s="89"/>
      <c r="C53" s="89"/>
      <c r="D53" s="89"/>
      <c r="E53" s="90"/>
      <c r="F53" s="89"/>
      <c r="G53" s="88"/>
    </row>
    <row r="54" spans="1:7" ht="15.75" customHeight="1" x14ac:dyDescent="0.2">
      <c r="A54" s="89"/>
      <c r="B54" s="89"/>
      <c r="C54" s="89"/>
      <c r="D54" s="89"/>
      <c r="E54" s="90"/>
      <c r="F54" s="89"/>
      <c r="G54" s="88"/>
    </row>
    <row r="55" spans="1:7" ht="15.75" customHeight="1" x14ac:dyDescent="0.2">
      <c r="A55" s="89"/>
      <c r="B55" s="89"/>
      <c r="C55" s="89"/>
      <c r="D55" s="89"/>
      <c r="E55" s="90"/>
      <c r="F55" s="89"/>
      <c r="G55" s="88"/>
    </row>
    <row r="56" spans="1:7" ht="15.75" customHeight="1" x14ac:dyDescent="0.2">
      <c r="A56" s="89"/>
      <c r="B56" s="89"/>
      <c r="C56" s="89"/>
      <c r="D56" s="89"/>
      <c r="E56" s="90"/>
      <c r="F56" s="89"/>
      <c r="G56" s="88"/>
    </row>
    <row r="57" spans="1:7" ht="15.75" customHeight="1" x14ac:dyDescent="0.2">
      <c r="A57" s="89"/>
      <c r="B57" s="89"/>
      <c r="C57" s="89"/>
      <c r="D57" s="89"/>
      <c r="E57" s="90"/>
      <c r="F57" s="89"/>
      <c r="G57" s="88"/>
    </row>
    <row r="58" spans="1:7" ht="15.75" customHeight="1" x14ac:dyDescent="0.2">
      <c r="A58" s="89"/>
      <c r="B58" s="89"/>
      <c r="C58" s="89"/>
      <c r="D58" s="89"/>
      <c r="E58" s="90"/>
      <c r="F58" s="89"/>
      <c r="G58" s="88"/>
    </row>
    <row r="59" spans="1:7" ht="15.75" customHeight="1" x14ac:dyDescent="0.2">
      <c r="A59" s="89"/>
      <c r="B59" s="89"/>
      <c r="C59" s="89"/>
      <c r="D59" s="89"/>
      <c r="E59" s="90"/>
      <c r="F59" s="89"/>
      <c r="G59" s="88"/>
    </row>
    <row r="60" spans="1:7" ht="15.75" customHeight="1" x14ac:dyDescent="0.2">
      <c r="A60" s="89"/>
      <c r="B60" s="89"/>
      <c r="C60" s="89"/>
      <c r="D60" s="89"/>
      <c r="E60" s="90"/>
      <c r="F60" s="89"/>
      <c r="G60" s="88"/>
    </row>
    <row r="61" spans="1:7" ht="15.75" customHeight="1" x14ac:dyDescent="0.2">
      <c r="A61" s="89"/>
      <c r="B61" s="89"/>
      <c r="C61" s="89"/>
      <c r="D61" s="89"/>
      <c r="E61" s="90"/>
      <c r="F61" s="89"/>
      <c r="G61" s="88"/>
    </row>
    <row r="62" spans="1:7" ht="15.75" customHeight="1" x14ac:dyDescent="0.2">
      <c r="A62" s="89"/>
      <c r="B62" s="89"/>
      <c r="C62" s="89"/>
      <c r="D62" s="89"/>
      <c r="E62" s="90"/>
      <c r="F62" s="89"/>
      <c r="G62" s="88"/>
    </row>
    <row r="63" spans="1:7" ht="15.75" customHeight="1" x14ac:dyDescent="0.2">
      <c r="A63" s="89"/>
      <c r="B63" s="89"/>
      <c r="C63" s="89"/>
      <c r="D63" s="89"/>
      <c r="E63" s="90"/>
      <c r="F63" s="89"/>
      <c r="G63" s="88"/>
    </row>
    <row r="64" spans="1:7" ht="15.75" customHeight="1" x14ac:dyDescent="0.2">
      <c r="A64" s="89"/>
      <c r="B64" s="89"/>
      <c r="C64" s="89"/>
      <c r="D64" s="89"/>
      <c r="E64" s="90"/>
      <c r="F64" s="89"/>
      <c r="G64" s="88"/>
    </row>
    <row r="65" spans="1:7" ht="15.75" customHeight="1" x14ac:dyDescent="0.2">
      <c r="A65" s="89"/>
      <c r="B65" s="89"/>
      <c r="C65" s="89"/>
      <c r="D65" s="89"/>
      <c r="E65" s="90"/>
      <c r="F65" s="89"/>
      <c r="G65" s="88"/>
    </row>
    <row r="66" spans="1:7" ht="15.75" customHeight="1" x14ac:dyDescent="0.2">
      <c r="A66" s="89"/>
      <c r="B66" s="89"/>
      <c r="C66" s="89"/>
      <c r="D66" s="89"/>
      <c r="E66" s="90"/>
      <c r="F66" s="89"/>
      <c r="G66" s="88"/>
    </row>
    <row r="67" spans="1:7" ht="15.75" customHeight="1" x14ac:dyDescent="0.2">
      <c r="A67" s="86"/>
      <c r="B67" s="86"/>
      <c r="C67" s="86"/>
      <c r="D67" s="86"/>
      <c r="E67" s="87"/>
      <c r="F67" s="86"/>
      <c r="G67" s="85"/>
    </row>
    <row r="68" spans="1:7" ht="15.75" customHeight="1" x14ac:dyDescent="0.2">
      <c r="A68" s="86"/>
      <c r="B68" s="86"/>
      <c r="C68" s="86"/>
      <c r="D68" s="86"/>
      <c r="E68" s="87"/>
      <c r="F68" s="86"/>
      <c r="G68" s="85"/>
    </row>
    <row r="69" spans="1:7" ht="15.75" customHeight="1" x14ac:dyDescent="0.2">
      <c r="A69" s="86"/>
      <c r="B69" s="86"/>
      <c r="C69" s="86"/>
      <c r="D69" s="86"/>
      <c r="E69" s="87"/>
      <c r="F69" s="86"/>
      <c r="G69" s="85"/>
    </row>
    <row r="70" spans="1:7" ht="15.75" customHeight="1" x14ac:dyDescent="0.2">
      <c r="A70" s="86"/>
      <c r="B70" s="86"/>
      <c r="C70" s="86"/>
      <c r="D70" s="86"/>
      <c r="E70" s="87"/>
      <c r="F70" s="86"/>
      <c r="G70" s="85"/>
    </row>
    <row r="71" spans="1:7" ht="15.75" customHeight="1" x14ac:dyDescent="0.2">
      <c r="A71" s="86"/>
      <c r="B71" s="86"/>
      <c r="C71" s="86"/>
      <c r="D71" s="86"/>
      <c r="E71" s="87"/>
      <c r="F71" s="86"/>
      <c r="G71" s="85"/>
    </row>
    <row r="72" spans="1:7" ht="15.75" customHeight="1" x14ac:dyDescent="0.2">
      <c r="A72" s="86"/>
      <c r="B72" s="86"/>
      <c r="C72" s="86"/>
      <c r="D72" s="86"/>
      <c r="E72" s="87"/>
      <c r="F72" s="86"/>
      <c r="G72" s="85"/>
    </row>
    <row r="73" spans="1:7" ht="15.75" customHeight="1" x14ac:dyDescent="0.2">
      <c r="A73" s="86"/>
      <c r="B73" s="86"/>
      <c r="C73" s="86"/>
      <c r="D73" s="86"/>
      <c r="E73" s="87"/>
      <c r="F73" s="86"/>
      <c r="G73" s="85"/>
    </row>
    <row r="74" spans="1:7" ht="15.75" customHeight="1" x14ac:dyDescent="0.2">
      <c r="A74" s="86"/>
      <c r="B74" s="86"/>
      <c r="C74" s="86"/>
      <c r="D74" s="86"/>
      <c r="E74" s="87"/>
      <c r="F74" s="86"/>
      <c r="G74" s="85"/>
    </row>
    <row r="75" spans="1:7" ht="15.75" customHeight="1" x14ac:dyDescent="0.2">
      <c r="A75" s="86"/>
      <c r="B75" s="86"/>
      <c r="C75" s="86"/>
      <c r="D75" s="86"/>
      <c r="E75" s="87"/>
      <c r="F75" s="86"/>
      <c r="G75" s="85"/>
    </row>
    <row r="76" spans="1:7" ht="15.75" customHeight="1" x14ac:dyDescent="0.2">
      <c r="A76" s="86"/>
      <c r="B76" s="86"/>
      <c r="C76" s="86"/>
      <c r="D76" s="86"/>
      <c r="E76" s="87"/>
      <c r="F76" s="86"/>
      <c r="G76" s="85"/>
    </row>
    <row r="77" spans="1:7" ht="15.75" customHeight="1" x14ac:dyDescent="0.2">
      <c r="A77" s="86"/>
      <c r="B77" s="86"/>
      <c r="C77" s="86"/>
      <c r="D77" s="86"/>
      <c r="E77" s="87"/>
      <c r="F77" s="86"/>
      <c r="G77" s="85"/>
    </row>
    <row r="78" spans="1:7" ht="15.75" customHeight="1" x14ac:dyDescent="0.2">
      <c r="A78" s="86"/>
      <c r="B78" s="86"/>
      <c r="C78" s="86"/>
      <c r="D78" s="86"/>
      <c r="E78" s="87"/>
      <c r="F78" s="86"/>
      <c r="G78" s="85"/>
    </row>
    <row r="79" spans="1:7" ht="15.75" customHeight="1" x14ac:dyDescent="0.2">
      <c r="A79" s="86"/>
      <c r="B79" s="86"/>
      <c r="C79" s="86"/>
      <c r="D79" s="86"/>
      <c r="E79" s="87"/>
      <c r="F79" s="86"/>
      <c r="G79" s="85"/>
    </row>
    <row r="80" spans="1:7" ht="15.75" customHeight="1" x14ac:dyDescent="0.2">
      <c r="A80" s="86"/>
      <c r="B80" s="86"/>
      <c r="C80" s="86"/>
      <c r="D80" s="86"/>
      <c r="E80" s="87"/>
      <c r="F80" s="86"/>
      <c r="G80" s="85"/>
    </row>
    <row r="81" spans="1:7" ht="15.75" customHeight="1" x14ac:dyDescent="0.2">
      <c r="A81" s="86"/>
      <c r="B81" s="86"/>
      <c r="C81" s="86"/>
      <c r="D81" s="86"/>
      <c r="E81" s="87"/>
      <c r="F81" s="86"/>
      <c r="G81" s="85"/>
    </row>
    <row r="82" spans="1:7" ht="15.75" customHeight="1" x14ac:dyDescent="0.2">
      <c r="A82" s="86"/>
      <c r="B82" s="86"/>
      <c r="C82" s="86"/>
      <c r="D82" s="86"/>
      <c r="E82" s="87"/>
      <c r="F82" s="86"/>
      <c r="G82" s="85"/>
    </row>
    <row r="83" spans="1:7" ht="15.75" customHeight="1" x14ac:dyDescent="0.2">
      <c r="A83" s="86"/>
      <c r="B83" s="86"/>
      <c r="C83" s="86"/>
      <c r="D83" s="86"/>
      <c r="E83" s="87"/>
      <c r="F83" s="86"/>
      <c r="G83" s="85"/>
    </row>
    <row r="84" spans="1:7" ht="15.75" customHeight="1" x14ac:dyDescent="0.2">
      <c r="A84" s="86"/>
      <c r="B84" s="86"/>
      <c r="C84" s="86"/>
      <c r="D84" s="86"/>
      <c r="E84" s="87"/>
      <c r="F84" s="86"/>
      <c r="G84" s="85"/>
    </row>
    <row r="85" spans="1:7" ht="15.75" customHeight="1" x14ac:dyDescent="0.2">
      <c r="A85" s="86"/>
      <c r="B85" s="86"/>
      <c r="C85" s="86"/>
      <c r="D85" s="86"/>
      <c r="E85" s="87"/>
      <c r="F85" s="86"/>
      <c r="G85" s="85"/>
    </row>
    <row r="86" spans="1:7" ht="15.75" customHeight="1" x14ac:dyDescent="0.2">
      <c r="A86" s="86"/>
      <c r="B86" s="86"/>
      <c r="C86" s="86"/>
      <c r="D86" s="86"/>
      <c r="E86" s="87"/>
      <c r="F86" s="86"/>
      <c r="G86" s="85"/>
    </row>
    <row r="87" spans="1:7" ht="15.75" customHeight="1" x14ac:dyDescent="0.2">
      <c r="A87" s="86"/>
      <c r="B87" s="86"/>
      <c r="C87" s="86"/>
      <c r="D87" s="86"/>
      <c r="E87" s="87"/>
      <c r="F87" s="86"/>
      <c r="G87" s="85"/>
    </row>
    <row r="88" spans="1:7" ht="15.75" customHeight="1" x14ac:dyDescent="0.2">
      <c r="A88" s="86"/>
      <c r="B88" s="86"/>
      <c r="C88" s="86"/>
      <c r="D88" s="86"/>
      <c r="E88" s="87"/>
      <c r="F88" s="86"/>
      <c r="G88" s="85"/>
    </row>
    <row r="89" spans="1:7" ht="15.75" customHeight="1" x14ac:dyDescent="0.2">
      <c r="A89" s="86"/>
      <c r="B89" s="86"/>
      <c r="C89" s="86"/>
      <c r="D89" s="86"/>
      <c r="E89" s="87"/>
      <c r="F89" s="86"/>
      <c r="G89" s="85"/>
    </row>
    <row r="90" spans="1:7" ht="15.75" customHeight="1" x14ac:dyDescent="0.2"/>
    <row r="91" spans="1:7" ht="15.75" customHeight="1" x14ac:dyDescent="0.2"/>
    <row r="92" spans="1:7" ht="15.75" customHeight="1" x14ac:dyDescent="0.2"/>
    <row r="93" spans="1:7" ht="15.75" customHeight="1" x14ac:dyDescent="0.2"/>
    <row r="94" spans="1:7" ht="15.75" customHeight="1" x14ac:dyDescent="0.2"/>
    <row r="95" spans="1:7" ht="15.75" customHeight="1" x14ac:dyDescent="0.2"/>
    <row r="96" spans="1:7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3">
    <mergeCell ref="A1:G1"/>
    <mergeCell ref="B2:G4"/>
    <mergeCell ref="A5:G6"/>
  </mergeCells>
  <dataValidations count="1">
    <dataValidation type="list" allowBlank="1" showErrorMessage="1" sqref="F8:G66" xr:uid="{969FB74A-C386-4317-AE77-10EF16044050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99C3-D7F5-4B6C-B00A-9EC6E62DD225}">
  <sheetPr codeName="Hoja7">
    <pageSetUpPr fitToPage="1"/>
  </sheetPr>
  <dimension ref="A1:Z1000"/>
  <sheetViews>
    <sheetView showGridLines="0" workbookViewId="0">
      <selection activeCell="B8" sqref="B8:G15"/>
    </sheetView>
  </sheetViews>
  <sheetFormatPr baseColWidth="10" defaultColWidth="12.625" defaultRowHeight="15" customHeight="1" x14ac:dyDescent="0.2"/>
  <cols>
    <col min="1" max="1" width="2.5" style="84" customWidth="1"/>
    <col min="2" max="2" width="13.875" style="84" customWidth="1"/>
    <col min="3" max="3" width="27.125" style="84" customWidth="1"/>
    <col min="4" max="4" width="22.875" style="84" customWidth="1"/>
    <col min="5" max="5" width="79.875" style="84" customWidth="1"/>
    <col min="6" max="6" width="12.75" style="84" customWidth="1"/>
    <col min="7" max="7" width="14.75" style="84" customWidth="1"/>
    <col min="8" max="16384" width="12.625" style="84"/>
  </cols>
  <sheetData>
    <row r="1" spans="1:26" ht="12.75" customHeight="1" x14ac:dyDescent="0.2">
      <c r="A1" s="159"/>
      <c r="B1" s="160"/>
      <c r="C1" s="160"/>
      <c r="D1" s="160"/>
      <c r="E1" s="160"/>
      <c r="F1" s="160"/>
      <c r="G1" s="160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6" ht="12.75" x14ac:dyDescent="0.2">
      <c r="A2" s="111"/>
      <c r="B2" s="161" t="s">
        <v>34</v>
      </c>
      <c r="C2" s="162"/>
      <c r="D2" s="162"/>
      <c r="E2" s="162"/>
      <c r="F2" s="162"/>
      <c r="G2" s="163"/>
    </row>
    <row r="3" spans="1:26" ht="12.75" x14ac:dyDescent="0.2">
      <c r="A3" s="111"/>
      <c r="B3" s="164"/>
      <c r="C3" s="160"/>
      <c r="D3" s="160"/>
      <c r="E3" s="160"/>
      <c r="F3" s="160"/>
      <c r="G3" s="165"/>
    </row>
    <row r="4" spans="1:26" ht="12.75" x14ac:dyDescent="0.2">
      <c r="A4" s="111"/>
      <c r="B4" s="166"/>
      <c r="C4" s="167"/>
      <c r="D4" s="167"/>
      <c r="E4" s="167"/>
      <c r="F4" s="167"/>
      <c r="G4" s="168"/>
    </row>
    <row r="5" spans="1:26" ht="12.75" x14ac:dyDescent="0.2">
      <c r="A5" s="159"/>
      <c r="B5" s="160"/>
      <c r="C5" s="160"/>
      <c r="D5" s="160"/>
      <c r="E5" s="160"/>
      <c r="F5" s="160"/>
      <c r="G5" s="160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</row>
    <row r="6" spans="1:26" ht="12.75" x14ac:dyDescent="0.2">
      <c r="A6" s="160"/>
      <c r="B6" s="160"/>
      <c r="C6" s="160"/>
      <c r="D6" s="160"/>
      <c r="E6" s="160"/>
      <c r="F6" s="160"/>
      <c r="G6" s="160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</row>
    <row r="7" spans="1:26" ht="30" x14ac:dyDescent="0.2">
      <c r="A7" s="111"/>
      <c r="B7" s="113" t="s">
        <v>35</v>
      </c>
      <c r="C7" s="113" t="s">
        <v>36</v>
      </c>
      <c r="D7" s="113" t="s">
        <v>37</v>
      </c>
      <c r="E7" s="114" t="s">
        <v>38</v>
      </c>
      <c r="F7" s="113" t="s">
        <v>39</v>
      </c>
      <c r="G7" s="115" t="s">
        <v>40</v>
      </c>
    </row>
    <row r="8" spans="1:26" ht="21" customHeight="1" x14ac:dyDescent="0.2">
      <c r="A8" s="97"/>
      <c r="B8" s="110"/>
      <c r="C8" s="110"/>
      <c r="D8" s="103"/>
      <c r="E8" s="109"/>
      <c r="F8" s="103"/>
      <c r="G8" s="96"/>
    </row>
    <row r="9" spans="1:26" ht="15.75" x14ac:dyDescent="0.2">
      <c r="A9" s="97"/>
      <c r="B9" s="110"/>
      <c r="C9" s="110"/>
      <c r="D9" s="103"/>
      <c r="E9" s="109"/>
      <c r="F9" s="103"/>
      <c r="G9" s="96"/>
    </row>
    <row r="10" spans="1:26" ht="15.75" x14ac:dyDescent="0.2">
      <c r="A10" s="97"/>
      <c r="B10" s="110"/>
      <c r="C10" s="110"/>
      <c r="D10" s="103"/>
      <c r="E10" s="109"/>
      <c r="F10" s="103"/>
      <c r="G10" s="96"/>
    </row>
    <row r="11" spans="1:26" ht="15.75" x14ac:dyDescent="0.2">
      <c r="A11" s="97"/>
      <c r="B11" s="110"/>
      <c r="C11" s="110"/>
      <c r="D11" s="103"/>
      <c r="E11" s="109"/>
      <c r="F11" s="103"/>
      <c r="G11" s="96"/>
    </row>
    <row r="12" spans="1:26" ht="15.75" x14ac:dyDescent="0.2">
      <c r="A12" s="97"/>
      <c r="B12" s="110"/>
      <c r="C12" s="110"/>
      <c r="D12" s="103"/>
      <c r="E12" s="109"/>
      <c r="F12" s="103"/>
      <c r="G12" s="96"/>
    </row>
    <row r="13" spans="1:26" ht="15.75" x14ac:dyDescent="0.2">
      <c r="A13" s="97"/>
      <c r="B13" s="110"/>
      <c r="C13" s="110"/>
      <c r="D13" s="103"/>
      <c r="E13" s="109"/>
      <c r="F13" s="103"/>
      <c r="G13" s="96"/>
    </row>
    <row r="14" spans="1:26" ht="15.75" x14ac:dyDescent="0.2">
      <c r="A14" s="97"/>
      <c r="B14" s="110"/>
      <c r="C14" s="110"/>
      <c r="D14" s="103"/>
      <c r="E14" s="109"/>
      <c r="F14" s="108"/>
      <c r="G14" s="96"/>
    </row>
    <row r="15" spans="1:26" x14ac:dyDescent="0.2">
      <c r="A15" s="97"/>
      <c r="B15" s="96"/>
      <c r="C15" s="96"/>
      <c r="D15" s="95"/>
      <c r="E15" s="107"/>
      <c r="F15" s="106"/>
      <c r="G15" s="95"/>
    </row>
    <row r="16" spans="1:26" ht="15.75" x14ac:dyDescent="0.2">
      <c r="A16" s="97"/>
      <c r="B16" s="96"/>
      <c r="C16" s="96"/>
      <c r="D16" s="95"/>
      <c r="E16" s="100"/>
      <c r="F16" s="103"/>
      <c r="G16" s="96"/>
    </row>
    <row r="17" spans="1:7" ht="15.75" x14ac:dyDescent="0.2">
      <c r="A17" s="97"/>
      <c r="B17" s="96"/>
      <c r="C17" s="96"/>
      <c r="D17" s="95"/>
      <c r="E17" s="100"/>
      <c r="F17" s="103"/>
      <c r="G17" s="96"/>
    </row>
    <row r="18" spans="1:7" ht="15.75" x14ac:dyDescent="0.2">
      <c r="A18" s="97"/>
      <c r="B18" s="96"/>
      <c r="C18" s="96"/>
      <c r="D18" s="95"/>
      <c r="E18" s="100"/>
      <c r="F18" s="103"/>
      <c r="G18" s="96"/>
    </row>
    <row r="19" spans="1:7" ht="15.75" x14ac:dyDescent="0.2">
      <c r="A19" s="97"/>
      <c r="B19" s="96"/>
      <c r="C19" s="96"/>
      <c r="D19" s="95"/>
      <c r="E19" s="100"/>
      <c r="F19" s="103"/>
      <c r="G19" s="96"/>
    </row>
    <row r="20" spans="1:7" ht="15.75" x14ac:dyDescent="0.2">
      <c r="A20" s="97"/>
      <c r="B20" s="96"/>
      <c r="C20" s="96"/>
      <c r="D20" s="95"/>
      <c r="E20" s="100"/>
      <c r="F20" s="103"/>
      <c r="G20" s="96"/>
    </row>
    <row r="21" spans="1:7" ht="15.75" customHeight="1" x14ac:dyDescent="0.2">
      <c r="A21" s="105"/>
      <c r="B21" s="96"/>
      <c r="C21" s="96"/>
      <c r="D21" s="95"/>
      <c r="E21" s="100"/>
      <c r="F21" s="103"/>
      <c r="G21" s="96"/>
    </row>
    <row r="22" spans="1:7" ht="15.75" customHeight="1" x14ac:dyDescent="0.2">
      <c r="A22" s="105"/>
      <c r="B22" s="96"/>
      <c r="C22" s="96"/>
      <c r="D22" s="95"/>
      <c r="E22" s="100"/>
      <c r="F22" s="103"/>
      <c r="G22" s="96"/>
    </row>
    <row r="23" spans="1:7" ht="15.75" customHeight="1" x14ac:dyDescent="0.2">
      <c r="A23" s="105"/>
      <c r="B23" s="96"/>
      <c r="C23" s="96"/>
      <c r="D23" s="95"/>
      <c r="E23" s="100"/>
      <c r="F23" s="103"/>
      <c r="G23" s="96"/>
    </row>
    <row r="24" spans="1:7" ht="15.75" customHeight="1" x14ac:dyDescent="0.2">
      <c r="A24" s="104"/>
      <c r="B24" s="96"/>
      <c r="C24" s="96"/>
      <c r="D24" s="95"/>
      <c r="E24" s="100"/>
      <c r="F24" s="103"/>
      <c r="G24" s="96"/>
    </row>
    <row r="25" spans="1:7" ht="15.75" customHeight="1" x14ac:dyDescent="0.2">
      <c r="A25" s="104"/>
      <c r="B25" s="96"/>
      <c r="C25" s="96"/>
      <c r="D25" s="95"/>
      <c r="E25" s="100"/>
      <c r="F25" s="103"/>
      <c r="G25" s="96"/>
    </row>
    <row r="26" spans="1:7" ht="15.75" customHeight="1" x14ac:dyDescent="0.2">
      <c r="A26" s="104"/>
      <c r="B26" s="96"/>
      <c r="C26" s="96"/>
      <c r="D26" s="95"/>
      <c r="E26" s="100"/>
      <c r="F26" s="103"/>
      <c r="G26" s="96"/>
    </row>
    <row r="27" spans="1:7" ht="15.75" customHeight="1" x14ac:dyDescent="0.2">
      <c r="A27" s="104"/>
      <c r="B27" s="96"/>
      <c r="C27" s="96"/>
      <c r="D27" s="95"/>
      <c r="E27" s="100"/>
      <c r="F27" s="103"/>
      <c r="G27" s="96"/>
    </row>
    <row r="28" spans="1:7" ht="15.75" customHeight="1" x14ac:dyDescent="0.2">
      <c r="A28" s="104"/>
      <c r="B28" s="96"/>
      <c r="C28" s="96"/>
      <c r="D28" s="95"/>
      <c r="E28" s="100"/>
      <c r="F28" s="103"/>
      <c r="G28" s="96"/>
    </row>
    <row r="29" spans="1:7" ht="15.75" customHeight="1" x14ac:dyDescent="0.2">
      <c r="A29" s="104"/>
      <c r="B29" s="96"/>
      <c r="C29" s="96"/>
      <c r="D29" s="95"/>
      <c r="E29" s="100"/>
      <c r="F29" s="103"/>
      <c r="G29" s="96"/>
    </row>
    <row r="30" spans="1:7" ht="30" customHeight="1" x14ac:dyDescent="0.2">
      <c r="A30" s="104" t="s">
        <v>49</v>
      </c>
      <c r="B30" s="96"/>
      <c r="C30" s="96"/>
      <c r="D30" s="95"/>
      <c r="E30" s="100"/>
      <c r="F30" s="103"/>
      <c r="G30" s="96"/>
    </row>
    <row r="31" spans="1:7" ht="15.75" customHeight="1" x14ac:dyDescent="0.2">
      <c r="A31" s="102"/>
      <c r="B31" s="96"/>
      <c r="C31" s="96"/>
      <c r="D31" s="95"/>
      <c r="E31" s="100"/>
      <c r="F31" s="103"/>
      <c r="G31" s="96"/>
    </row>
    <row r="32" spans="1:7" ht="15.75" customHeight="1" x14ac:dyDescent="0.2">
      <c r="A32" s="102"/>
      <c r="B32" s="96"/>
      <c r="C32" s="96"/>
      <c r="D32" s="95"/>
      <c r="E32" s="100"/>
      <c r="F32" s="103"/>
      <c r="G32" s="96"/>
    </row>
    <row r="33" spans="1:7" ht="15.75" customHeight="1" x14ac:dyDescent="0.2">
      <c r="A33" s="102"/>
      <c r="B33" s="96"/>
      <c r="C33" s="96"/>
      <c r="D33" s="95"/>
      <c r="E33" s="100"/>
      <c r="F33" s="103"/>
      <c r="G33" s="96"/>
    </row>
    <row r="34" spans="1:7" ht="15.75" customHeight="1" x14ac:dyDescent="0.2">
      <c r="A34" s="102"/>
      <c r="B34" s="96"/>
      <c r="C34" s="96"/>
      <c r="D34" s="95"/>
      <c r="E34" s="100"/>
      <c r="F34" s="103"/>
      <c r="G34" s="96"/>
    </row>
    <row r="35" spans="1:7" ht="15.75" customHeight="1" x14ac:dyDescent="0.2">
      <c r="A35" s="102"/>
      <c r="B35" s="96"/>
      <c r="C35" s="96"/>
      <c r="D35" s="95"/>
      <c r="E35" s="100"/>
      <c r="F35" s="103"/>
      <c r="G35" s="96"/>
    </row>
    <row r="36" spans="1:7" ht="15.75" customHeight="1" x14ac:dyDescent="0.2">
      <c r="A36" s="102"/>
      <c r="B36" s="96"/>
      <c r="C36" s="96"/>
      <c r="D36" s="95"/>
      <c r="E36" s="100"/>
      <c r="F36" s="103"/>
      <c r="G36" s="96"/>
    </row>
    <row r="37" spans="1:7" ht="15.75" customHeight="1" x14ac:dyDescent="0.2">
      <c r="A37" s="102"/>
      <c r="B37" s="96"/>
      <c r="C37" s="96"/>
      <c r="D37" s="95"/>
      <c r="E37" s="100"/>
      <c r="F37" s="103"/>
      <c r="G37" s="96"/>
    </row>
    <row r="38" spans="1:7" ht="15.75" customHeight="1" x14ac:dyDescent="0.2">
      <c r="A38" s="102"/>
      <c r="B38" s="96"/>
      <c r="C38" s="96"/>
      <c r="D38" s="95"/>
      <c r="E38" s="100"/>
      <c r="F38" s="103"/>
      <c r="G38" s="96"/>
    </row>
    <row r="39" spans="1:7" ht="15.75" customHeight="1" x14ac:dyDescent="0.2">
      <c r="A39" s="102"/>
      <c r="B39" s="96"/>
      <c r="C39" s="96"/>
      <c r="D39" s="95"/>
      <c r="E39" s="100"/>
      <c r="F39" s="103"/>
      <c r="G39" s="96"/>
    </row>
    <row r="40" spans="1:7" ht="15.75" customHeight="1" x14ac:dyDescent="0.2">
      <c r="A40" s="102"/>
      <c r="B40" s="96"/>
      <c r="C40" s="96"/>
      <c r="D40" s="95"/>
      <c r="E40" s="100"/>
      <c r="F40" s="103"/>
      <c r="G40" s="96"/>
    </row>
    <row r="41" spans="1:7" ht="15.75" customHeight="1" x14ac:dyDescent="0.2">
      <c r="A41" s="102"/>
      <c r="B41" s="96"/>
      <c r="C41" s="96"/>
      <c r="D41" s="95"/>
      <c r="E41" s="100"/>
      <c r="F41" s="103"/>
      <c r="G41" s="96"/>
    </row>
    <row r="42" spans="1:7" ht="15.75" customHeight="1" x14ac:dyDescent="0.2">
      <c r="A42" s="102"/>
      <c r="B42" s="96"/>
      <c r="C42" s="96"/>
      <c r="D42" s="95"/>
      <c r="E42" s="100"/>
      <c r="F42" s="103"/>
      <c r="G42" s="96"/>
    </row>
    <row r="43" spans="1:7" ht="15.75" customHeight="1" x14ac:dyDescent="0.2">
      <c r="A43" s="102"/>
      <c r="B43" s="96"/>
      <c r="C43" s="101"/>
      <c r="D43" s="95"/>
      <c r="E43" s="100"/>
      <c r="F43" s="99"/>
      <c r="G43" s="98"/>
    </row>
    <row r="44" spans="1:7" ht="15.75" customHeight="1" x14ac:dyDescent="0.2">
      <c r="A44" s="97"/>
      <c r="B44" s="96"/>
      <c r="C44" s="92"/>
      <c r="D44" s="95"/>
      <c r="E44" s="94"/>
      <c r="F44" s="93"/>
      <c r="G44" s="92"/>
    </row>
    <row r="45" spans="1:7" ht="15.75" customHeight="1" x14ac:dyDescent="0.2">
      <c r="A45" s="89"/>
      <c r="B45" s="89"/>
      <c r="C45" s="89"/>
      <c r="D45" s="89"/>
      <c r="E45" s="91"/>
      <c r="F45" s="89"/>
      <c r="G45" s="88"/>
    </row>
    <row r="46" spans="1:7" ht="15.75" customHeight="1" x14ac:dyDescent="0.2">
      <c r="A46" s="89"/>
      <c r="B46" s="89"/>
      <c r="C46" s="89"/>
      <c r="D46" s="89"/>
      <c r="E46" s="91"/>
      <c r="F46" s="89"/>
      <c r="G46" s="88"/>
    </row>
    <row r="47" spans="1:7" ht="15.75" customHeight="1" x14ac:dyDescent="0.2">
      <c r="A47" s="89"/>
      <c r="B47" s="89"/>
      <c r="C47" s="89"/>
      <c r="D47" s="89"/>
      <c r="E47" s="91"/>
      <c r="F47" s="89"/>
      <c r="G47" s="88"/>
    </row>
    <row r="48" spans="1:7" ht="15.75" customHeight="1" x14ac:dyDescent="0.2">
      <c r="A48" s="89"/>
      <c r="B48" s="89"/>
      <c r="C48" s="89"/>
      <c r="D48" s="89"/>
      <c r="E48" s="90"/>
      <c r="F48" s="89"/>
      <c r="G48" s="88"/>
    </row>
    <row r="49" spans="1:7" ht="15.75" customHeight="1" x14ac:dyDescent="0.2">
      <c r="A49" s="89"/>
      <c r="B49" s="89"/>
      <c r="C49" s="89"/>
      <c r="D49" s="89"/>
      <c r="E49" s="90"/>
      <c r="F49" s="89"/>
      <c r="G49" s="88"/>
    </row>
    <row r="50" spans="1:7" ht="15.75" customHeight="1" x14ac:dyDescent="0.2">
      <c r="A50" s="89"/>
      <c r="B50" s="89"/>
      <c r="C50" s="89"/>
      <c r="D50" s="89"/>
      <c r="E50" s="90"/>
      <c r="F50" s="89"/>
      <c r="G50" s="88"/>
    </row>
    <row r="51" spans="1:7" ht="15.75" customHeight="1" x14ac:dyDescent="0.2">
      <c r="A51" s="89"/>
      <c r="B51" s="89"/>
      <c r="C51" s="89"/>
      <c r="D51" s="89"/>
      <c r="E51" s="90"/>
      <c r="F51" s="89"/>
      <c r="G51" s="88"/>
    </row>
    <row r="52" spans="1:7" ht="15.75" customHeight="1" x14ac:dyDescent="0.2">
      <c r="A52" s="89"/>
      <c r="B52" s="89"/>
      <c r="C52" s="89"/>
      <c r="D52" s="89"/>
      <c r="E52" s="90"/>
      <c r="F52" s="89"/>
      <c r="G52" s="88"/>
    </row>
    <row r="53" spans="1:7" ht="15.75" customHeight="1" x14ac:dyDescent="0.2">
      <c r="A53" s="89"/>
      <c r="B53" s="89"/>
      <c r="C53" s="89"/>
      <c r="D53" s="89"/>
      <c r="E53" s="90"/>
      <c r="F53" s="89"/>
      <c r="G53" s="88"/>
    </row>
    <row r="54" spans="1:7" ht="15.75" customHeight="1" x14ac:dyDescent="0.2">
      <c r="A54" s="89"/>
      <c r="B54" s="89"/>
      <c r="C54" s="89"/>
      <c r="D54" s="89"/>
      <c r="E54" s="90"/>
      <c r="F54" s="89"/>
      <c r="G54" s="88"/>
    </row>
    <row r="55" spans="1:7" ht="15.75" customHeight="1" x14ac:dyDescent="0.2">
      <c r="A55" s="89"/>
      <c r="B55" s="89"/>
      <c r="C55" s="89"/>
      <c r="D55" s="89"/>
      <c r="E55" s="90"/>
      <c r="F55" s="89"/>
      <c r="G55" s="88"/>
    </row>
    <row r="56" spans="1:7" ht="15.75" customHeight="1" x14ac:dyDescent="0.2">
      <c r="A56" s="89"/>
      <c r="B56" s="89"/>
      <c r="C56" s="89"/>
      <c r="D56" s="89"/>
      <c r="E56" s="90"/>
      <c r="F56" s="89"/>
      <c r="G56" s="88"/>
    </row>
    <row r="57" spans="1:7" ht="15.75" customHeight="1" x14ac:dyDescent="0.2">
      <c r="A57" s="89"/>
      <c r="B57" s="89"/>
      <c r="C57" s="89"/>
      <c r="D57" s="89"/>
      <c r="E57" s="90"/>
      <c r="F57" s="89"/>
      <c r="G57" s="88"/>
    </row>
    <row r="58" spans="1:7" ht="15.75" customHeight="1" x14ac:dyDescent="0.2">
      <c r="A58" s="89"/>
      <c r="B58" s="89"/>
      <c r="C58" s="89"/>
      <c r="D58" s="89"/>
      <c r="E58" s="90"/>
      <c r="F58" s="89"/>
      <c r="G58" s="88"/>
    </row>
    <row r="59" spans="1:7" ht="15.75" customHeight="1" x14ac:dyDescent="0.2">
      <c r="A59" s="89"/>
      <c r="B59" s="89"/>
      <c r="C59" s="89"/>
      <c r="D59" s="89"/>
      <c r="E59" s="90"/>
      <c r="F59" s="89"/>
      <c r="G59" s="88"/>
    </row>
    <row r="60" spans="1:7" ht="15.75" customHeight="1" x14ac:dyDescent="0.2">
      <c r="A60" s="89"/>
      <c r="B60" s="89"/>
      <c r="C60" s="89"/>
      <c r="D60" s="89"/>
      <c r="E60" s="90"/>
      <c r="F60" s="89"/>
      <c r="G60" s="88"/>
    </row>
    <row r="61" spans="1:7" ht="15.75" customHeight="1" x14ac:dyDescent="0.2">
      <c r="A61" s="89"/>
      <c r="B61" s="89"/>
      <c r="C61" s="89"/>
      <c r="D61" s="89"/>
      <c r="E61" s="90"/>
      <c r="F61" s="89"/>
      <c r="G61" s="88"/>
    </row>
    <row r="62" spans="1:7" ht="15.75" customHeight="1" x14ac:dyDescent="0.2">
      <c r="A62" s="89"/>
      <c r="B62" s="89"/>
      <c r="C62" s="89"/>
      <c r="D62" s="89"/>
      <c r="E62" s="90"/>
      <c r="F62" s="89"/>
      <c r="G62" s="88"/>
    </row>
    <row r="63" spans="1:7" ht="15.75" customHeight="1" x14ac:dyDescent="0.2">
      <c r="A63" s="89"/>
      <c r="B63" s="89"/>
      <c r="C63" s="89"/>
      <c r="D63" s="89"/>
      <c r="E63" s="90"/>
      <c r="F63" s="89"/>
      <c r="G63" s="88"/>
    </row>
    <row r="64" spans="1:7" ht="15.75" customHeight="1" x14ac:dyDescent="0.2">
      <c r="A64" s="89"/>
      <c r="B64" s="89"/>
      <c r="C64" s="89"/>
      <c r="D64" s="89"/>
      <c r="E64" s="90"/>
      <c r="F64" s="89"/>
      <c r="G64" s="88"/>
    </row>
    <row r="65" spans="1:7" ht="15.75" customHeight="1" x14ac:dyDescent="0.2">
      <c r="A65" s="89"/>
      <c r="B65" s="89"/>
      <c r="C65" s="89"/>
      <c r="D65" s="89"/>
      <c r="E65" s="90"/>
      <c r="F65" s="89"/>
      <c r="G65" s="88"/>
    </row>
    <row r="66" spans="1:7" ht="15.75" customHeight="1" x14ac:dyDescent="0.2">
      <c r="A66" s="89"/>
      <c r="B66" s="89"/>
      <c r="C66" s="89"/>
      <c r="D66" s="89"/>
      <c r="E66" s="90"/>
      <c r="F66" s="89"/>
      <c r="G66" s="88"/>
    </row>
    <row r="67" spans="1:7" ht="15.75" customHeight="1" x14ac:dyDescent="0.2">
      <c r="A67" s="86"/>
      <c r="B67" s="86"/>
      <c r="C67" s="86"/>
      <c r="D67" s="86"/>
      <c r="E67" s="87"/>
      <c r="F67" s="86"/>
      <c r="G67" s="85"/>
    </row>
    <row r="68" spans="1:7" ht="15.75" customHeight="1" x14ac:dyDescent="0.2">
      <c r="A68" s="86"/>
      <c r="B68" s="86"/>
      <c r="C68" s="86"/>
      <c r="D68" s="86"/>
      <c r="E68" s="87"/>
      <c r="F68" s="86"/>
      <c r="G68" s="85"/>
    </row>
    <row r="69" spans="1:7" ht="15.75" customHeight="1" x14ac:dyDescent="0.2">
      <c r="A69" s="86"/>
      <c r="B69" s="86"/>
      <c r="C69" s="86"/>
      <c r="D69" s="86"/>
      <c r="E69" s="87"/>
      <c r="F69" s="86"/>
      <c r="G69" s="85"/>
    </row>
    <row r="70" spans="1:7" ht="15.75" customHeight="1" x14ac:dyDescent="0.2">
      <c r="A70" s="86"/>
      <c r="B70" s="86"/>
      <c r="C70" s="86"/>
      <c r="D70" s="86"/>
      <c r="E70" s="87"/>
      <c r="F70" s="86"/>
      <c r="G70" s="85"/>
    </row>
    <row r="71" spans="1:7" ht="15.75" customHeight="1" x14ac:dyDescent="0.2">
      <c r="A71" s="86"/>
      <c r="B71" s="86"/>
      <c r="C71" s="86"/>
      <c r="D71" s="86"/>
      <c r="E71" s="87"/>
      <c r="F71" s="86"/>
      <c r="G71" s="85"/>
    </row>
    <row r="72" spans="1:7" ht="15.75" customHeight="1" x14ac:dyDescent="0.2">
      <c r="A72" s="86"/>
      <c r="B72" s="86"/>
      <c r="C72" s="86"/>
      <c r="D72" s="86"/>
      <c r="E72" s="87"/>
      <c r="F72" s="86"/>
      <c r="G72" s="85"/>
    </row>
    <row r="73" spans="1:7" ht="15.75" customHeight="1" x14ac:dyDescent="0.2">
      <c r="A73" s="86"/>
      <c r="B73" s="86"/>
      <c r="C73" s="86"/>
      <c r="D73" s="86"/>
      <c r="E73" s="87"/>
      <c r="F73" s="86"/>
      <c r="G73" s="85"/>
    </row>
    <row r="74" spans="1:7" ht="15.75" customHeight="1" x14ac:dyDescent="0.2">
      <c r="A74" s="86"/>
      <c r="B74" s="86"/>
      <c r="C74" s="86"/>
      <c r="D74" s="86"/>
      <c r="E74" s="87"/>
      <c r="F74" s="86"/>
      <c r="G74" s="85"/>
    </row>
    <row r="75" spans="1:7" ht="15.75" customHeight="1" x14ac:dyDescent="0.2">
      <c r="A75" s="86"/>
      <c r="B75" s="86"/>
      <c r="C75" s="86"/>
      <c r="D75" s="86"/>
      <c r="E75" s="87"/>
      <c r="F75" s="86"/>
      <c r="G75" s="85"/>
    </row>
    <row r="76" spans="1:7" ht="15.75" customHeight="1" x14ac:dyDescent="0.2">
      <c r="A76" s="86"/>
      <c r="B76" s="86"/>
      <c r="C76" s="86"/>
      <c r="D76" s="86"/>
      <c r="E76" s="87"/>
      <c r="F76" s="86"/>
      <c r="G76" s="85"/>
    </row>
    <row r="77" spans="1:7" ht="15.75" customHeight="1" x14ac:dyDescent="0.2">
      <c r="A77" s="86"/>
      <c r="B77" s="86"/>
      <c r="C77" s="86"/>
      <c r="D77" s="86"/>
      <c r="E77" s="87"/>
      <c r="F77" s="86"/>
      <c r="G77" s="85"/>
    </row>
    <row r="78" spans="1:7" ht="15.75" customHeight="1" x14ac:dyDescent="0.2">
      <c r="A78" s="86"/>
      <c r="B78" s="86"/>
      <c r="C78" s="86"/>
      <c r="D78" s="86"/>
      <c r="E78" s="87"/>
      <c r="F78" s="86"/>
      <c r="G78" s="85"/>
    </row>
    <row r="79" spans="1:7" ht="15.75" customHeight="1" x14ac:dyDescent="0.2">
      <c r="A79" s="86"/>
      <c r="B79" s="86"/>
      <c r="C79" s="86"/>
      <c r="D79" s="86"/>
      <c r="E79" s="87"/>
      <c r="F79" s="86"/>
      <c r="G79" s="85"/>
    </row>
    <row r="80" spans="1:7" ht="15.75" customHeight="1" x14ac:dyDescent="0.2">
      <c r="A80" s="86"/>
      <c r="B80" s="86"/>
      <c r="C80" s="86"/>
      <c r="D80" s="86"/>
      <c r="E80" s="87"/>
      <c r="F80" s="86"/>
      <c r="G80" s="85"/>
    </row>
    <row r="81" spans="1:7" ht="15.75" customHeight="1" x14ac:dyDescent="0.2">
      <c r="A81" s="86"/>
      <c r="B81" s="86"/>
      <c r="C81" s="86"/>
      <c r="D81" s="86"/>
      <c r="E81" s="87"/>
      <c r="F81" s="86"/>
      <c r="G81" s="85"/>
    </row>
    <row r="82" spans="1:7" ht="15.75" customHeight="1" x14ac:dyDescent="0.2">
      <c r="A82" s="86"/>
      <c r="B82" s="86"/>
      <c r="C82" s="86"/>
      <c r="D82" s="86"/>
      <c r="E82" s="87"/>
      <c r="F82" s="86"/>
      <c r="G82" s="85"/>
    </row>
    <row r="83" spans="1:7" ht="15.75" customHeight="1" x14ac:dyDescent="0.2">
      <c r="A83" s="86"/>
      <c r="B83" s="86"/>
      <c r="C83" s="86"/>
      <c r="D83" s="86"/>
      <c r="E83" s="87"/>
      <c r="F83" s="86"/>
      <c r="G83" s="85"/>
    </row>
    <row r="84" spans="1:7" ht="15.75" customHeight="1" x14ac:dyDescent="0.2">
      <c r="A84" s="86"/>
      <c r="B84" s="86"/>
      <c r="C84" s="86"/>
      <c r="D84" s="86"/>
      <c r="E84" s="87"/>
      <c r="F84" s="86"/>
      <c r="G84" s="85"/>
    </row>
    <row r="85" spans="1:7" ht="15.75" customHeight="1" x14ac:dyDescent="0.2">
      <c r="A85" s="86"/>
      <c r="B85" s="86"/>
      <c r="C85" s="86"/>
      <c r="D85" s="86"/>
      <c r="E85" s="87"/>
      <c r="F85" s="86"/>
      <c r="G85" s="85"/>
    </row>
    <row r="86" spans="1:7" ht="15.75" customHeight="1" x14ac:dyDescent="0.2">
      <c r="A86" s="86"/>
      <c r="B86" s="86"/>
      <c r="C86" s="86"/>
      <c r="D86" s="86"/>
      <c r="E86" s="87"/>
      <c r="F86" s="86"/>
      <c r="G86" s="85"/>
    </row>
    <row r="87" spans="1:7" ht="15.75" customHeight="1" x14ac:dyDescent="0.2">
      <c r="A87" s="86"/>
      <c r="B87" s="86"/>
      <c r="C87" s="86"/>
      <c r="D87" s="86"/>
      <c r="E87" s="87"/>
      <c r="F87" s="86"/>
      <c r="G87" s="85"/>
    </row>
    <row r="88" spans="1:7" ht="15.75" customHeight="1" x14ac:dyDescent="0.2">
      <c r="A88" s="86"/>
      <c r="B88" s="86"/>
      <c r="C88" s="86"/>
      <c r="D88" s="86"/>
      <c r="E88" s="87"/>
      <c r="F88" s="86"/>
      <c r="G88" s="85"/>
    </row>
    <row r="89" spans="1:7" ht="15.75" customHeight="1" x14ac:dyDescent="0.2">
      <c r="A89" s="86"/>
      <c r="B89" s="86"/>
      <c r="C89" s="86"/>
      <c r="D89" s="86"/>
      <c r="E89" s="87"/>
      <c r="F89" s="86"/>
      <c r="G89" s="85"/>
    </row>
    <row r="90" spans="1:7" ht="15.75" customHeight="1" x14ac:dyDescent="0.2"/>
    <row r="91" spans="1:7" ht="15.75" customHeight="1" x14ac:dyDescent="0.2"/>
    <row r="92" spans="1:7" ht="15.75" customHeight="1" x14ac:dyDescent="0.2"/>
    <row r="93" spans="1:7" ht="15.75" customHeight="1" x14ac:dyDescent="0.2"/>
    <row r="94" spans="1:7" ht="15.75" customHeight="1" x14ac:dyDescent="0.2"/>
    <row r="95" spans="1:7" ht="15.75" customHeight="1" x14ac:dyDescent="0.2"/>
    <row r="96" spans="1:7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3">
    <mergeCell ref="A1:G1"/>
    <mergeCell ref="B2:G4"/>
    <mergeCell ref="A5:G6"/>
  </mergeCells>
  <dataValidations count="1">
    <dataValidation type="list" allowBlank="1" showErrorMessage="1" sqref="F8:G66" xr:uid="{647971F2-1C0D-4A0B-8EC7-60C5C12A4EE2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D7F-8F52-48B6-9710-CEA1F9FEF177}">
  <sheetPr codeName="Hoja8">
    <pageSetUpPr fitToPage="1"/>
  </sheetPr>
  <dimension ref="A1:Z1000"/>
  <sheetViews>
    <sheetView showGridLines="0" workbookViewId="0">
      <selection activeCell="B8" sqref="B8:G15"/>
    </sheetView>
  </sheetViews>
  <sheetFormatPr baseColWidth="10" defaultColWidth="12.625" defaultRowHeight="15" customHeight="1" x14ac:dyDescent="0.2"/>
  <cols>
    <col min="1" max="1" width="2.5" style="84" customWidth="1"/>
    <col min="2" max="2" width="13.875" style="84" customWidth="1"/>
    <col min="3" max="3" width="27.125" style="84" customWidth="1"/>
    <col min="4" max="4" width="22.875" style="84" customWidth="1"/>
    <col min="5" max="5" width="79.875" style="84" customWidth="1"/>
    <col min="6" max="6" width="12.75" style="84" customWidth="1"/>
    <col min="7" max="7" width="14.75" style="84" customWidth="1"/>
    <col min="8" max="16384" width="12.625" style="84"/>
  </cols>
  <sheetData>
    <row r="1" spans="1:26" ht="12.75" customHeight="1" x14ac:dyDescent="0.2">
      <c r="A1" s="159"/>
      <c r="B1" s="160"/>
      <c r="C1" s="160"/>
      <c r="D1" s="160"/>
      <c r="E1" s="160"/>
      <c r="F1" s="160"/>
      <c r="G1" s="160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6" ht="12.75" x14ac:dyDescent="0.2">
      <c r="A2" s="111"/>
      <c r="B2" s="161" t="s">
        <v>34</v>
      </c>
      <c r="C2" s="162"/>
      <c r="D2" s="162"/>
      <c r="E2" s="162"/>
      <c r="F2" s="162"/>
      <c r="G2" s="163"/>
    </row>
    <row r="3" spans="1:26" ht="12.75" x14ac:dyDescent="0.2">
      <c r="A3" s="111"/>
      <c r="B3" s="164"/>
      <c r="C3" s="160"/>
      <c r="D3" s="160"/>
      <c r="E3" s="160"/>
      <c r="F3" s="160"/>
      <c r="G3" s="165"/>
    </row>
    <row r="4" spans="1:26" ht="12.75" x14ac:dyDescent="0.2">
      <c r="A4" s="111"/>
      <c r="B4" s="166"/>
      <c r="C4" s="167"/>
      <c r="D4" s="167"/>
      <c r="E4" s="167"/>
      <c r="F4" s="167"/>
      <c r="G4" s="168"/>
    </row>
    <row r="5" spans="1:26" ht="12.75" x14ac:dyDescent="0.2">
      <c r="A5" s="159"/>
      <c r="B5" s="160"/>
      <c r="C5" s="160"/>
      <c r="D5" s="160"/>
      <c r="E5" s="160"/>
      <c r="F5" s="160"/>
      <c r="G5" s="160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</row>
    <row r="6" spans="1:26" ht="12.75" x14ac:dyDescent="0.2">
      <c r="A6" s="160"/>
      <c r="B6" s="160"/>
      <c r="C6" s="160"/>
      <c r="D6" s="160"/>
      <c r="E6" s="160"/>
      <c r="F6" s="160"/>
      <c r="G6" s="160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</row>
    <row r="7" spans="1:26" ht="30" x14ac:dyDescent="0.2">
      <c r="A7" s="111"/>
      <c r="B7" s="113" t="s">
        <v>35</v>
      </c>
      <c r="C7" s="113" t="s">
        <v>36</v>
      </c>
      <c r="D7" s="113" t="s">
        <v>37</v>
      </c>
      <c r="E7" s="114" t="s">
        <v>38</v>
      </c>
      <c r="F7" s="113" t="s">
        <v>39</v>
      </c>
      <c r="G7" s="115" t="s">
        <v>40</v>
      </c>
    </row>
    <row r="8" spans="1:26" ht="21" customHeight="1" x14ac:dyDescent="0.2">
      <c r="A8" s="97"/>
      <c r="B8" s="110"/>
      <c r="C8" s="110"/>
      <c r="D8" s="103"/>
      <c r="E8" s="109"/>
      <c r="F8" s="103"/>
      <c r="G8" s="96"/>
    </row>
    <row r="9" spans="1:26" ht="15.75" x14ac:dyDescent="0.2">
      <c r="A9" s="97"/>
      <c r="B9" s="110"/>
      <c r="C9" s="110"/>
      <c r="D9" s="103"/>
      <c r="E9" s="109"/>
      <c r="F9" s="103"/>
      <c r="G9" s="96"/>
    </row>
    <row r="10" spans="1:26" ht="15.75" x14ac:dyDescent="0.2">
      <c r="A10" s="97"/>
      <c r="B10" s="110"/>
      <c r="C10" s="110"/>
      <c r="D10" s="103"/>
      <c r="E10" s="109"/>
      <c r="F10" s="103"/>
      <c r="G10" s="96"/>
    </row>
    <row r="11" spans="1:26" ht="15.75" x14ac:dyDescent="0.2">
      <c r="A11" s="97"/>
      <c r="B11" s="110"/>
      <c r="C11" s="110"/>
      <c r="D11" s="103"/>
      <c r="E11" s="109"/>
      <c r="F11" s="103"/>
      <c r="G11" s="96"/>
    </row>
    <row r="12" spans="1:26" ht="15.75" x14ac:dyDescent="0.2">
      <c r="A12" s="97"/>
      <c r="B12" s="110"/>
      <c r="C12" s="110"/>
      <c r="D12" s="103"/>
      <c r="E12" s="109"/>
      <c r="F12" s="103"/>
      <c r="G12" s="96"/>
    </row>
    <row r="13" spans="1:26" ht="15.75" x14ac:dyDescent="0.2">
      <c r="A13" s="97"/>
      <c r="B13" s="110"/>
      <c r="C13" s="110"/>
      <c r="D13" s="103"/>
      <c r="E13" s="109"/>
      <c r="F13" s="103"/>
      <c r="G13" s="96"/>
    </row>
    <row r="14" spans="1:26" ht="15.75" x14ac:dyDescent="0.2">
      <c r="A14" s="97"/>
      <c r="B14" s="110"/>
      <c r="C14" s="110"/>
      <c r="D14" s="103"/>
      <c r="E14" s="109"/>
      <c r="F14" s="108"/>
      <c r="G14" s="96"/>
    </row>
    <row r="15" spans="1:26" x14ac:dyDescent="0.2">
      <c r="A15" s="97"/>
      <c r="B15" s="96"/>
      <c r="C15" s="96"/>
      <c r="D15" s="95"/>
      <c r="E15" s="107"/>
      <c r="F15" s="106"/>
      <c r="G15" s="95"/>
    </row>
    <row r="16" spans="1:26" ht="15.75" x14ac:dyDescent="0.2">
      <c r="A16" s="97"/>
      <c r="B16" s="96"/>
      <c r="C16" s="96"/>
      <c r="D16" s="95"/>
      <c r="E16" s="100"/>
      <c r="F16" s="103"/>
      <c r="G16" s="96"/>
    </row>
    <row r="17" spans="1:7" ht="15.75" x14ac:dyDescent="0.2">
      <c r="A17" s="97"/>
      <c r="B17" s="96"/>
      <c r="C17" s="96"/>
      <c r="D17" s="95"/>
      <c r="E17" s="100"/>
      <c r="F17" s="103"/>
      <c r="G17" s="96"/>
    </row>
    <row r="18" spans="1:7" ht="15.75" x14ac:dyDescent="0.2">
      <c r="A18" s="97"/>
      <c r="B18" s="96"/>
      <c r="C18" s="96"/>
      <c r="D18" s="95"/>
      <c r="E18" s="100"/>
      <c r="F18" s="103"/>
      <c r="G18" s="96"/>
    </row>
    <row r="19" spans="1:7" ht="15.75" x14ac:dyDescent="0.2">
      <c r="A19" s="97"/>
      <c r="B19" s="96"/>
      <c r="C19" s="96"/>
      <c r="D19" s="95"/>
      <c r="E19" s="100"/>
      <c r="F19" s="103"/>
      <c r="G19" s="96"/>
    </row>
    <row r="20" spans="1:7" ht="15.75" x14ac:dyDescent="0.2">
      <c r="A20" s="97"/>
      <c r="B20" s="96"/>
      <c r="C20" s="96"/>
      <c r="D20" s="95"/>
      <c r="E20" s="100"/>
      <c r="F20" s="103"/>
      <c r="G20" s="96"/>
    </row>
    <row r="21" spans="1:7" ht="15.75" customHeight="1" x14ac:dyDescent="0.2">
      <c r="A21" s="105"/>
      <c r="B21" s="96"/>
      <c r="C21" s="96"/>
      <c r="D21" s="95"/>
      <c r="E21" s="100"/>
      <c r="F21" s="103"/>
      <c r="G21" s="96"/>
    </row>
    <row r="22" spans="1:7" ht="15.75" customHeight="1" x14ac:dyDescent="0.2">
      <c r="A22" s="105"/>
      <c r="B22" s="96"/>
      <c r="C22" s="96"/>
      <c r="D22" s="95"/>
      <c r="E22" s="100"/>
      <c r="F22" s="103"/>
      <c r="G22" s="96"/>
    </row>
    <row r="23" spans="1:7" ht="15.75" customHeight="1" x14ac:dyDescent="0.2">
      <c r="A23" s="105"/>
      <c r="B23" s="96"/>
      <c r="C23" s="96"/>
      <c r="D23" s="95"/>
      <c r="E23" s="100"/>
      <c r="F23" s="103"/>
      <c r="G23" s="96"/>
    </row>
    <row r="24" spans="1:7" ht="15.75" customHeight="1" x14ac:dyDescent="0.2">
      <c r="A24" s="104"/>
      <c r="B24" s="96"/>
      <c r="C24" s="96"/>
      <c r="D24" s="95"/>
      <c r="E24" s="100"/>
      <c r="F24" s="103"/>
      <c r="G24" s="96"/>
    </row>
    <row r="25" spans="1:7" ht="15.75" customHeight="1" x14ac:dyDescent="0.2">
      <c r="A25" s="104"/>
      <c r="B25" s="96"/>
      <c r="C25" s="96"/>
      <c r="D25" s="95"/>
      <c r="E25" s="100"/>
      <c r="F25" s="103"/>
      <c r="G25" s="96"/>
    </row>
    <row r="26" spans="1:7" ht="15.75" customHeight="1" x14ac:dyDescent="0.2">
      <c r="A26" s="104"/>
      <c r="B26" s="96"/>
      <c r="C26" s="96"/>
      <c r="D26" s="95"/>
      <c r="E26" s="100"/>
      <c r="F26" s="103"/>
      <c r="G26" s="96"/>
    </row>
    <row r="27" spans="1:7" ht="15.75" customHeight="1" x14ac:dyDescent="0.2">
      <c r="A27" s="104"/>
      <c r="B27" s="96"/>
      <c r="C27" s="96"/>
      <c r="D27" s="95"/>
      <c r="E27" s="100"/>
      <c r="F27" s="103"/>
      <c r="G27" s="96"/>
    </row>
    <row r="28" spans="1:7" ht="15.75" customHeight="1" x14ac:dyDescent="0.2">
      <c r="A28" s="104"/>
      <c r="B28" s="96"/>
      <c r="C28" s="96"/>
      <c r="D28" s="95"/>
      <c r="E28" s="100"/>
      <c r="F28" s="103"/>
      <c r="G28" s="96"/>
    </row>
    <row r="29" spans="1:7" ht="15.75" customHeight="1" x14ac:dyDescent="0.2">
      <c r="A29" s="104"/>
      <c r="B29" s="96"/>
      <c r="C29" s="96"/>
      <c r="D29" s="95"/>
      <c r="E29" s="100"/>
      <c r="F29" s="103"/>
      <c r="G29" s="96"/>
    </row>
    <row r="30" spans="1:7" ht="30" customHeight="1" x14ac:dyDescent="0.2">
      <c r="A30" s="104" t="s">
        <v>49</v>
      </c>
      <c r="B30" s="96"/>
      <c r="C30" s="96"/>
      <c r="D30" s="95"/>
      <c r="E30" s="100"/>
      <c r="F30" s="103"/>
      <c r="G30" s="96"/>
    </row>
    <row r="31" spans="1:7" ht="15.75" customHeight="1" x14ac:dyDescent="0.2">
      <c r="A31" s="102"/>
      <c r="B31" s="96"/>
      <c r="C31" s="96"/>
      <c r="D31" s="95"/>
      <c r="E31" s="100"/>
      <c r="F31" s="103"/>
      <c r="G31" s="96"/>
    </row>
    <row r="32" spans="1:7" ht="15.75" customHeight="1" x14ac:dyDescent="0.2">
      <c r="A32" s="102"/>
      <c r="B32" s="96"/>
      <c r="C32" s="96"/>
      <c r="D32" s="95"/>
      <c r="E32" s="100"/>
      <c r="F32" s="103"/>
      <c r="G32" s="96"/>
    </row>
    <row r="33" spans="1:7" ht="15.75" customHeight="1" x14ac:dyDescent="0.2">
      <c r="A33" s="102"/>
      <c r="B33" s="96"/>
      <c r="C33" s="96"/>
      <c r="D33" s="95"/>
      <c r="E33" s="100"/>
      <c r="F33" s="103"/>
      <c r="G33" s="96"/>
    </row>
    <row r="34" spans="1:7" ht="15.75" customHeight="1" x14ac:dyDescent="0.2">
      <c r="A34" s="102"/>
      <c r="B34" s="96"/>
      <c r="C34" s="96"/>
      <c r="D34" s="95"/>
      <c r="E34" s="100"/>
      <c r="F34" s="103"/>
      <c r="G34" s="96"/>
    </row>
    <row r="35" spans="1:7" ht="15.75" customHeight="1" x14ac:dyDescent="0.2">
      <c r="A35" s="102"/>
      <c r="B35" s="96"/>
      <c r="C35" s="96"/>
      <c r="D35" s="95"/>
      <c r="E35" s="100"/>
      <c r="F35" s="103"/>
      <c r="G35" s="96"/>
    </row>
    <row r="36" spans="1:7" ht="15.75" customHeight="1" x14ac:dyDescent="0.2">
      <c r="A36" s="102"/>
      <c r="B36" s="96"/>
      <c r="C36" s="96"/>
      <c r="D36" s="95"/>
      <c r="E36" s="100"/>
      <c r="F36" s="103"/>
      <c r="G36" s="96"/>
    </row>
    <row r="37" spans="1:7" ht="15.75" customHeight="1" x14ac:dyDescent="0.2">
      <c r="A37" s="102"/>
      <c r="B37" s="96"/>
      <c r="C37" s="96"/>
      <c r="D37" s="95"/>
      <c r="E37" s="100"/>
      <c r="F37" s="103"/>
      <c r="G37" s="96"/>
    </row>
    <row r="38" spans="1:7" ht="15.75" customHeight="1" x14ac:dyDescent="0.2">
      <c r="A38" s="102"/>
      <c r="B38" s="96"/>
      <c r="C38" s="96"/>
      <c r="D38" s="95"/>
      <c r="E38" s="100"/>
      <c r="F38" s="103"/>
      <c r="G38" s="96"/>
    </row>
    <row r="39" spans="1:7" ht="15.75" customHeight="1" x14ac:dyDescent="0.2">
      <c r="A39" s="102"/>
      <c r="B39" s="96"/>
      <c r="C39" s="96"/>
      <c r="D39" s="95"/>
      <c r="E39" s="100"/>
      <c r="F39" s="103"/>
      <c r="G39" s="96"/>
    </row>
    <row r="40" spans="1:7" ht="15.75" customHeight="1" x14ac:dyDescent="0.2">
      <c r="A40" s="102"/>
      <c r="B40" s="96"/>
      <c r="C40" s="96"/>
      <c r="D40" s="95"/>
      <c r="E40" s="100"/>
      <c r="F40" s="103"/>
      <c r="G40" s="96"/>
    </row>
    <row r="41" spans="1:7" ht="15.75" customHeight="1" x14ac:dyDescent="0.2">
      <c r="A41" s="102"/>
      <c r="B41" s="96"/>
      <c r="C41" s="96"/>
      <c r="D41" s="95"/>
      <c r="E41" s="100"/>
      <c r="F41" s="103"/>
      <c r="G41" s="96"/>
    </row>
    <row r="42" spans="1:7" ht="15.75" customHeight="1" x14ac:dyDescent="0.2">
      <c r="A42" s="102"/>
      <c r="B42" s="96"/>
      <c r="C42" s="96"/>
      <c r="D42" s="95"/>
      <c r="E42" s="100"/>
      <c r="F42" s="103"/>
      <c r="G42" s="96"/>
    </row>
    <row r="43" spans="1:7" ht="15.75" customHeight="1" x14ac:dyDescent="0.2">
      <c r="A43" s="102"/>
      <c r="B43" s="96"/>
      <c r="C43" s="101"/>
      <c r="D43" s="95"/>
      <c r="E43" s="100"/>
      <c r="F43" s="99"/>
      <c r="G43" s="98"/>
    </row>
    <row r="44" spans="1:7" ht="15.75" customHeight="1" x14ac:dyDescent="0.2">
      <c r="A44" s="97"/>
      <c r="B44" s="96"/>
      <c r="C44" s="92"/>
      <c r="D44" s="95"/>
      <c r="E44" s="94"/>
      <c r="F44" s="93"/>
      <c r="G44" s="92"/>
    </row>
    <row r="45" spans="1:7" ht="15.75" customHeight="1" x14ac:dyDescent="0.2">
      <c r="A45" s="89"/>
      <c r="B45" s="89"/>
      <c r="C45" s="89"/>
      <c r="D45" s="89"/>
      <c r="E45" s="91"/>
      <c r="F45" s="89"/>
      <c r="G45" s="88"/>
    </row>
    <row r="46" spans="1:7" ht="15.75" customHeight="1" x14ac:dyDescent="0.2">
      <c r="A46" s="89"/>
      <c r="B46" s="89"/>
      <c r="C46" s="89"/>
      <c r="D46" s="89"/>
      <c r="E46" s="91"/>
      <c r="F46" s="89"/>
      <c r="G46" s="88"/>
    </row>
    <row r="47" spans="1:7" ht="15.75" customHeight="1" x14ac:dyDescent="0.2">
      <c r="A47" s="89"/>
      <c r="B47" s="89"/>
      <c r="C47" s="89"/>
      <c r="D47" s="89"/>
      <c r="E47" s="91"/>
      <c r="F47" s="89"/>
      <c r="G47" s="88"/>
    </row>
    <row r="48" spans="1:7" ht="15.75" customHeight="1" x14ac:dyDescent="0.2">
      <c r="A48" s="89"/>
      <c r="B48" s="89"/>
      <c r="C48" s="89"/>
      <c r="D48" s="89"/>
      <c r="E48" s="90"/>
      <c r="F48" s="89"/>
      <c r="G48" s="88"/>
    </row>
    <row r="49" spans="1:7" ht="15.75" customHeight="1" x14ac:dyDescent="0.2">
      <c r="A49" s="89"/>
      <c r="B49" s="89"/>
      <c r="C49" s="89"/>
      <c r="D49" s="89"/>
      <c r="E49" s="90"/>
      <c r="F49" s="89"/>
      <c r="G49" s="88"/>
    </row>
    <row r="50" spans="1:7" ht="15.75" customHeight="1" x14ac:dyDescent="0.2">
      <c r="A50" s="89"/>
      <c r="B50" s="89"/>
      <c r="C50" s="89"/>
      <c r="D50" s="89"/>
      <c r="E50" s="90"/>
      <c r="F50" s="89"/>
      <c r="G50" s="88"/>
    </row>
    <row r="51" spans="1:7" ht="15.75" customHeight="1" x14ac:dyDescent="0.2">
      <c r="A51" s="89"/>
      <c r="B51" s="89"/>
      <c r="C51" s="89"/>
      <c r="D51" s="89"/>
      <c r="E51" s="90"/>
      <c r="F51" s="89"/>
      <c r="G51" s="88"/>
    </row>
    <row r="52" spans="1:7" ht="15.75" customHeight="1" x14ac:dyDescent="0.2">
      <c r="A52" s="89"/>
      <c r="B52" s="89"/>
      <c r="C52" s="89"/>
      <c r="D52" s="89"/>
      <c r="E52" s="90"/>
      <c r="F52" s="89"/>
      <c r="G52" s="88"/>
    </row>
    <row r="53" spans="1:7" ht="15.75" customHeight="1" x14ac:dyDescent="0.2">
      <c r="A53" s="89"/>
      <c r="B53" s="89"/>
      <c r="C53" s="89"/>
      <c r="D53" s="89"/>
      <c r="E53" s="90"/>
      <c r="F53" s="89"/>
      <c r="G53" s="88"/>
    </row>
    <row r="54" spans="1:7" ht="15.75" customHeight="1" x14ac:dyDescent="0.2">
      <c r="A54" s="89"/>
      <c r="B54" s="89"/>
      <c r="C54" s="89"/>
      <c r="D54" s="89"/>
      <c r="E54" s="90"/>
      <c r="F54" s="89"/>
      <c r="G54" s="88"/>
    </row>
    <row r="55" spans="1:7" ht="15.75" customHeight="1" x14ac:dyDescent="0.2">
      <c r="A55" s="89"/>
      <c r="B55" s="89"/>
      <c r="C55" s="89"/>
      <c r="D55" s="89"/>
      <c r="E55" s="90"/>
      <c r="F55" s="89"/>
      <c r="G55" s="88"/>
    </row>
    <row r="56" spans="1:7" ht="15.75" customHeight="1" x14ac:dyDescent="0.2">
      <c r="A56" s="89"/>
      <c r="B56" s="89"/>
      <c r="C56" s="89"/>
      <c r="D56" s="89"/>
      <c r="E56" s="90"/>
      <c r="F56" s="89"/>
      <c r="G56" s="88"/>
    </row>
    <row r="57" spans="1:7" ht="15.75" customHeight="1" x14ac:dyDescent="0.2">
      <c r="A57" s="89"/>
      <c r="B57" s="89"/>
      <c r="C57" s="89"/>
      <c r="D57" s="89"/>
      <c r="E57" s="90"/>
      <c r="F57" s="89"/>
      <c r="G57" s="88"/>
    </row>
    <row r="58" spans="1:7" ht="15.75" customHeight="1" x14ac:dyDescent="0.2">
      <c r="A58" s="89"/>
      <c r="B58" s="89"/>
      <c r="C58" s="89"/>
      <c r="D58" s="89"/>
      <c r="E58" s="90"/>
      <c r="F58" s="89"/>
      <c r="G58" s="88"/>
    </row>
    <row r="59" spans="1:7" ht="15.75" customHeight="1" x14ac:dyDescent="0.2">
      <c r="A59" s="89"/>
      <c r="B59" s="89"/>
      <c r="C59" s="89"/>
      <c r="D59" s="89"/>
      <c r="E59" s="90"/>
      <c r="F59" s="89"/>
      <c r="G59" s="88"/>
    </row>
    <row r="60" spans="1:7" ht="15.75" customHeight="1" x14ac:dyDescent="0.2">
      <c r="A60" s="89"/>
      <c r="B60" s="89"/>
      <c r="C60" s="89"/>
      <c r="D60" s="89"/>
      <c r="E60" s="90"/>
      <c r="F60" s="89"/>
      <c r="G60" s="88"/>
    </row>
    <row r="61" spans="1:7" ht="15.75" customHeight="1" x14ac:dyDescent="0.2">
      <c r="A61" s="89"/>
      <c r="B61" s="89"/>
      <c r="C61" s="89"/>
      <c r="D61" s="89"/>
      <c r="E61" s="90"/>
      <c r="F61" s="89"/>
      <c r="G61" s="88"/>
    </row>
    <row r="62" spans="1:7" ht="15.75" customHeight="1" x14ac:dyDescent="0.2">
      <c r="A62" s="89"/>
      <c r="B62" s="89"/>
      <c r="C62" s="89"/>
      <c r="D62" s="89"/>
      <c r="E62" s="90"/>
      <c r="F62" s="89"/>
      <c r="G62" s="88"/>
    </row>
    <row r="63" spans="1:7" ht="15.75" customHeight="1" x14ac:dyDescent="0.2">
      <c r="A63" s="89"/>
      <c r="B63" s="89"/>
      <c r="C63" s="89"/>
      <c r="D63" s="89"/>
      <c r="E63" s="90"/>
      <c r="F63" s="89"/>
      <c r="G63" s="88"/>
    </row>
    <row r="64" spans="1:7" ht="15.75" customHeight="1" x14ac:dyDescent="0.2">
      <c r="A64" s="89"/>
      <c r="B64" s="89"/>
      <c r="C64" s="89"/>
      <c r="D64" s="89"/>
      <c r="E64" s="90"/>
      <c r="F64" s="89"/>
      <c r="G64" s="88"/>
    </row>
    <row r="65" spans="1:7" ht="15.75" customHeight="1" x14ac:dyDescent="0.2">
      <c r="A65" s="89"/>
      <c r="B65" s="89"/>
      <c r="C65" s="89"/>
      <c r="D65" s="89"/>
      <c r="E65" s="90"/>
      <c r="F65" s="89"/>
      <c r="G65" s="88"/>
    </row>
    <row r="66" spans="1:7" ht="15.75" customHeight="1" x14ac:dyDescent="0.2">
      <c r="A66" s="89"/>
      <c r="B66" s="89"/>
      <c r="C66" s="89"/>
      <c r="D66" s="89"/>
      <c r="E66" s="90"/>
      <c r="F66" s="89"/>
      <c r="G66" s="88"/>
    </row>
    <row r="67" spans="1:7" ht="15.75" customHeight="1" x14ac:dyDescent="0.2">
      <c r="A67" s="86"/>
      <c r="B67" s="86"/>
      <c r="C67" s="86"/>
      <c r="D67" s="86"/>
      <c r="E67" s="87"/>
      <c r="F67" s="86"/>
      <c r="G67" s="85"/>
    </row>
    <row r="68" spans="1:7" ht="15.75" customHeight="1" x14ac:dyDescent="0.2">
      <c r="A68" s="86"/>
      <c r="B68" s="86"/>
      <c r="C68" s="86"/>
      <c r="D68" s="86"/>
      <c r="E68" s="87"/>
      <c r="F68" s="86"/>
      <c r="G68" s="85"/>
    </row>
    <row r="69" spans="1:7" ht="15.75" customHeight="1" x14ac:dyDescent="0.2">
      <c r="A69" s="86"/>
      <c r="B69" s="86"/>
      <c r="C69" s="86"/>
      <c r="D69" s="86"/>
      <c r="E69" s="87"/>
      <c r="F69" s="86"/>
      <c r="G69" s="85"/>
    </row>
    <row r="70" spans="1:7" ht="15.75" customHeight="1" x14ac:dyDescent="0.2">
      <c r="A70" s="86"/>
      <c r="B70" s="86"/>
      <c r="C70" s="86"/>
      <c r="D70" s="86"/>
      <c r="E70" s="87"/>
      <c r="F70" s="86"/>
      <c r="G70" s="85"/>
    </row>
    <row r="71" spans="1:7" ht="15.75" customHeight="1" x14ac:dyDescent="0.2">
      <c r="A71" s="86"/>
      <c r="B71" s="86"/>
      <c r="C71" s="86"/>
      <c r="D71" s="86"/>
      <c r="E71" s="87"/>
      <c r="F71" s="86"/>
      <c r="G71" s="85"/>
    </row>
    <row r="72" spans="1:7" ht="15.75" customHeight="1" x14ac:dyDescent="0.2">
      <c r="A72" s="86"/>
      <c r="B72" s="86"/>
      <c r="C72" s="86"/>
      <c r="D72" s="86"/>
      <c r="E72" s="87"/>
      <c r="F72" s="86"/>
      <c r="G72" s="85"/>
    </row>
    <row r="73" spans="1:7" ht="15.75" customHeight="1" x14ac:dyDescent="0.2">
      <c r="A73" s="86"/>
      <c r="B73" s="86"/>
      <c r="C73" s="86"/>
      <c r="D73" s="86"/>
      <c r="E73" s="87"/>
      <c r="F73" s="86"/>
      <c r="G73" s="85"/>
    </row>
    <row r="74" spans="1:7" ht="15.75" customHeight="1" x14ac:dyDescent="0.2">
      <c r="A74" s="86"/>
      <c r="B74" s="86"/>
      <c r="C74" s="86"/>
      <c r="D74" s="86"/>
      <c r="E74" s="87"/>
      <c r="F74" s="86"/>
      <c r="G74" s="85"/>
    </row>
    <row r="75" spans="1:7" ht="15.75" customHeight="1" x14ac:dyDescent="0.2">
      <c r="A75" s="86"/>
      <c r="B75" s="86"/>
      <c r="C75" s="86"/>
      <c r="D75" s="86"/>
      <c r="E75" s="87"/>
      <c r="F75" s="86"/>
      <c r="G75" s="85"/>
    </row>
    <row r="76" spans="1:7" ht="15.75" customHeight="1" x14ac:dyDescent="0.2">
      <c r="A76" s="86"/>
      <c r="B76" s="86"/>
      <c r="C76" s="86"/>
      <c r="D76" s="86"/>
      <c r="E76" s="87"/>
      <c r="F76" s="86"/>
      <c r="G76" s="85"/>
    </row>
    <row r="77" spans="1:7" ht="15.75" customHeight="1" x14ac:dyDescent="0.2">
      <c r="A77" s="86"/>
      <c r="B77" s="86"/>
      <c r="C77" s="86"/>
      <c r="D77" s="86"/>
      <c r="E77" s="87"/>
      <c r="F77" s="86"/>
      <c r="G77" s="85"/>
    </row>
    <row r="78" spans="1:7" ht="15.75" customHeight="1" x14ac:dyDescent="0.2">
      <c r="A78" s="86"/>
      <c r="B78" s="86"/>
      <c r="C78" s="86"/>
      <c r="D78" s="86"/>
      <c r="E78" s="87"/>
      <c r="F78" s="86"/>
      <c r="G78" s="85"/>
    </row>
    <row r="79" spans="1:7" ht="15.75" customHeight="1" x14ac:dyDescent="0.2">
      <c r="A79" s="86"/>
      <c r="B79" s="86"/>
      <c r="C79" s="86"/>
      <c r="D79" s="86"/>
      <c r="E79" s="87"/>
      <c r="F79" s="86"/>
      <c r="G79" s="85"/>
    </row>
    <row r="80" spans="1:7" ht="15.75" customHeight="1" x14ac:dyDescent="0.2">
      <c r="A80" s="86"/>
      <c r="B80" s="86"/>
      <c r="C80" s="86"/>
      <c r="D80" s="86"/>
      <c r="E80" s="87"/>
      <c r="F80" s="86"/>
      <c r="G80" s="85"/>
    </row>
    <row r="81" spans="1:7" ht="15.75" customHeight="1" x14ac:dyDescent="0.2">
      <c r="A81" s="86"/>
      <c r="B81" s="86"/>
      <c r="C81" s="86"/>
      <c r="D81" s="86"/>
      <c r="E81" s="87"/>
      <c r="F81" s="86"/>
      <c r="G81" s="85"/>
    </row>
    <row r="82" spans="1:7" ht="15.75" customHeight="1" x14ac:dyDescent="0.2">
      <c r="A82" s="86"/>
      <c r="B82" s="86"/>
      <c r="C82" s="86"/>
      <c r="D82" s="86"/>
      <c r="E82" s="87"/>
      <c r="F82" s="86"/>
      <c r="G82" s="85"/>
    </row>
    <row r="83" spans="1:7" ht="15.75" customHeight="1" x14ac:dyDescent="0.2">
      <c r="A83" s="86"/>
      <c r="B83" s="86"/>
      <c r="C83" s="86"/>
      <c r="D83" s="86"/>
      <c r="E83" s="87"/>
      <c r="F83" s="86"/>
      <c r="G83" s="85"/>
    </row>
    <row r="84" spans="1:7" ht="15.75" customHeight="1" x14ac:dyDescent="0.2">
      <c r="A84" s="86"/>
      <c r="B84" s="86"/>
      <c r="C84" s="86"/>
      <c r="D84" s="86"/>
      <c r="E84" s="87"/>
      <c r="F84" s="86"/>
      <c r="G84" s="85"/>
    </row>
    <row r="85" spans="1:7" ht="15.75" customHeight="1" x14ac:dyDescent="0.2">
      <c r="A85" s="86"/>
      <c r="B85" s="86"/>
      <c r="C85" s="86"/>
      <c r="D85" s="86"/>
      <c r="E85" s="87"/>
      <c r="F85" s="86"/>
      <c r="G85" s="85"/>
    </row>
    <row r="86" spans="1:7" ht="15.75" customHeight="1" x14ac:dyDescent="0.2">
      <c r="A86" s="86"/>
      <c r="B86" s="86"/>
      <c r="C86" s="86"/>
      <c r="D86" s="86"/>
      <c r="E86" s="87"/>
      <c r="F86" s="86"/>
      <c r="G86" s="85"/>
    </row>
    <row r="87" spans="1:7" ht="15.75" customHeight="1" x14ac:dyDescent="0.2">
      <c r="A87" s="86"/>
      <c r="B87" s="86"/>
      <c r="C87" s="86"/>
      <c r="D87" s="86"/>
      <c r="E87" s="87"/>
      <c r="F87" s="86"/>
      <c r="G87" s="85"/>
    </row>
    <row r="88" spans="1:7" ht="15.75" customHeight="1" x14ac:dyDescent="0.2">
      <c r="A88" s="86"/>
      <c r="B88" s="86"/>
      <c r="C88" s="86"/>
      <c r="D88" s="86"/>
      <c r="E88" s="87"/>
      <c r="F88" s="86"/>
      <c r="G88" s="85"/>
    </row>
    <row r="89" spans="1:7" ht="15.75" customHeight="1" x14ac:dyDescent="0.2">
      <c r="A89" s="86"/>
      <c r="B89" s="86"/>
      <c r="C89" s="86"/>
      <c r="D89" s="86"/>
      <c r="E89" s="87"/>
      <c r="F89" s="86"/>
      <c r="G89" s="85"/>
    </row>
    <row r="90" spans="1:7" ht="15.75" customHeight="1" x14ac:dyDescent="0.2"/>
    <row r="91" spans="1:7" ht="15.75" customHeight="1" x14ac:dyDescent="0.2"/>
    <row r="92" spans="1:7" ht="15.75" customHeight="1" x14ac:dyDescent="0.2"/>
    <row r="93" spans="1:7" ht="15.75" customHeight="1" x14ac:dyDescent="0.2"/>
    <row r="94" spans="1:7" ht="15.75" customHeight="1" x14ac:dyDescent="0.2"/>
    <row r="95" spans="1:7" ht="15.75" customHeight="1" x14ac:dyDescent="0.2"/>
    <row r="96" spans="1:7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3">
    <mergeCell ref="A1:G1"/>
    <mergeCell ref="B2:G4"/>
    <mergeCell ref="A5:G6"/>
  </mergeCells>
  <dataValidations count="1">
    <dataValidation type="list" allowBlank="1" showErrorMessage="1" sqref="F8:G66" xr:uid="{B8FF686B-7899-4030-BC1E-A5FE62FAF8C3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67911-6194-41C9-903E-E713ACFCA3AC}">
  <dimension ref="A1:L14"/>
  <sheetViews>
    <sheetView tabSelected="1" topLeftCell="B5" zoomScale="101" zoomScaleNormal="100" workbookViewId="0">
      <selection activeCell="K14" sqref="K14"/>
    </sheetView>
  </sheetViews>
  <sheetFormatPr baseColWidth="10" defaultColWidth="11" defaultRowHeight="15.75" x14ac:dyDescent="0.25"/>
  <cols>
    <col min="1" max="1" width="29" style="156" customWidth="1"/>
    <col min="2" max="2" width="14.375" style="13" bestFit="1" customWidth="1"/>
    <col min="3" max="3" width="14.25" style="13" customWidth="1"/>
    <col min="4" max="4" width="6" style="13" bestFit="1" customWidth="1"/>
    <col min="5" max="5" width="8.125" style="13" bestFit="1" customWidth="1"/>
    <col min="6" max="6" width="14.625" style="13" bestFit="1" customWidth="1"/>
    <col min="7" max="7" width="20.875" style="13" bestFit="1" customWidth="1"/>
    <col min="8" max="8" width="24.125" style="13" bestFit="1" customWidth="1"/>
    <col min="9" max="9" width="40.375" style="13" customWidth="1"/>
    <col min="10" max="10" width="17.875" style="13" bestFit="1" customWidth="1"/>
    <col min="11" max="11" width="32" style="13" customWidth="1"/>
    <col min="12" max="12" width="38.75" style="13" customWidth="1"/>
    <col min="13" max="16384" width="11" style="13"/>
  </cols>
  <sheetData>
    <row r="1" spans="1:12" x14ac:dyDescent="0.25">
      <c r="A1" s="202" t="s">
        <v>52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</row>
    <row r="2" spans="1:12" x14ac:dyDescent="0.25">
      <c r="A2" s="203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</row>
    <row r="3" spans="1:12" s="201" customFormat="1" ht="31.5" x14ac:dyDescent="0.25">
      <c r="A3" s="196" t="s">
        <v>378</v>
      </c>
      <c r="B3" s="196" t="s">
        <v>162</v>
      </c>
      <c r="C3" s="196" t="s">
        <v>148</v>
      </c>
      <c r="D3" s="196" t="s">
        <v>35</v>
      </c>
      <c r="E3" s="196" t="s">
        <v>379</v>
      </c>
      <c r="F3" s="196" t="s">
        <v>380</v>
      </c>
      <c r="G3" s="196" t="s">
        <v>37</v>
      </c>
      <c r="H3" s="196" t="s">
        <v>381</v>
      </c>
      <c r="I3" s="196" t="s">
        <v>382</v>
      </c>
      <c r="J3" s="196" t="s">
        <v>383</v>
      </c>
      <c r="K3" s="196" t="s">
        <v>384</v>
      </c>
      <c r="L3" s="196" t="s">
        <v>385</v>
      </c>
    </row>
    <row r="4" spans="1:12" ht="63" x14ac:dyDescent="0.25">
      <c r="A4" s="199">
        <v>45797</v>
      </c>
      <c r="B4" s="200" t="s">
        <v>53</v>
      </c>
      <c r="C4" s="200" t="s">
        <v>55</v>
      </c>
      <c r="D4" s="200" t="s">
        <v>41</v>
      </c>
      <c r="E4" s="200" t="s">
        <v>50</v>
      </c>
      <c r="F4" s="200" t="s">
        <v>151</v>
      </c>
      <c r="G4" s="200" t="s">
        <v>387</v>
      </c>
      <c r="H4" s="200" t="s">
        <v>388</v>
      </c>
      <c r="I4" s="200" t="s">
        <v>389</v>
      </c>
      <c r="J4" s="200" t="s">
        <v>390</v>
      </c>
      <c r="K4" s="200" t="s">
        <v>391</v>
      </c>
      <c r="L4" s="200" t="s">
        <v>392</v>
      </c>
    </row>
    <row r="5" spans="1:12" ht="47.25" x14ac:dyDescent="0.25">
      <c r="A5" s="197">
        <v>45797</v>
      </c>
      <c r="B5" s="198" t="s">
        <v>53</v>
      </c>
      <c r="C5" s="198" t="s">
        <v>55</v>
      </c>
      <c r="D5" s="200" t="s">
        <v>44</v>
      </c>
      <c r="E5" s="198" t="s">
        <v>50</v>
      </c>
      <c r="F5" s="198" t="s">
        <v>151</v>
      </c>
      <c r="G5" s="198" t="s">
        <v>387</v>
      </c>
      <c r="H5" s="198" t="s">
        <v>424</v>
      </c>
      <c r="I5" s="198" t="s">
        <v>423</v>
      </c>
      <c r="J5" s="198" t="s">
        <v>393</v>
      </c>
      <c r="K5" s="198" t="s">
        <v>394</v>
      </c>
      <c r="L5" s="198" t="s">
        <v>395</v>
      </c>
    </row>
    <row r="6" spans="1:12" ht="47.25" x14ac:dyDescent="0.25">
      <c r="A6" s="197">
        <v>45797</v>
      </c>
      <c r="B6" s="198" t="s">
        <v>53</v>
      </c>
      <c r="C6" s="198" t="s">
        <v>55</v>
      </c>
      <c r="D6" s="200" t="s">
        <v>46</v>
      </c>
      <c r="E6" s="198" t="s">
        <v>50</v>
      </c>
      <c r="F6" s="198" t="s">
        <v>151</v>
      </c>
      <c r="G6" s="198" t="s">
        <v>387</v>
      </c>
      <c r="H6" s="198" t="s">
        <v>396</v>
      </c>
      <c r="I6" s="198" t="s">
        <v>397</v>
      </c>
      <c r="J6" s="198" t="s">
        <v>393</v>
      </c>
      <c r="K6" s="198" t="s">
        <v>398</v>
      </c>
      <c r="L6" s="198" t="s">
        <v>399</v>
      </c>
    </row>
    <row r="7" spans="1:12" ht="47.25" x14ac:dyDescent="0.25">
      <c r="A7" s="197">
        <v>45797</v>
      </c>
      <c r="B7" s="198" t="s">
        <v>53</v>
      </c>
      <c r="C7" s="198" t="s">
        <v>55</v>
      </c>
      <c r="D7" s="200" t="s">
        <v>47</v>
      </c>
      <c r="E7" s="198" t="s">
        <v>50</v>
      </c>
      <c r="F7" s="198" t="s">
        <v>151</v>
      </c>
      <c r="G7" s="198" t="s">
        <v>387</v>
      </c>
      <c r="H7" s="198" t="s">
        <v>400</v>
      </c>
      <c r="I7" s="198" t="s">
        <v>401</v>
      </c>
      <c r="J7" s="198" t="s">
        <v>393</v>
      </c>
      <c r="K7" s="198" t="s">
        <v>402</v>
      </c>
      <c r="L7" s="198" t="s">
        <v>403</v>
      </c>
    </row>
    <row r="8" spans="1:12" ht="47.25" x14ac:dyDescent="0.25">
      <c r="A8" s="197">
        <v>45797</v>
      </c>
      <c r="B8" s="198" t="s">
        <v>53</v>
      </c>
      <c r="C8" s="198" t="s">
        <v>55</v>
      </c>
      <c r="D8" s="200" t="s">
        <v>48</v>
      </c>
      <c r="E8" s="198" t="s">
        <v>254</v>
      </c>
      <c r="F8" s="198" t="s">
        <v>151</v>
      </c>
      <c r="G8" s="198" t="s">
        <v>387</v>
      </c>
      <c r="H8" s="198" t="s">
        <v>404</v>
      </c>
      <c r="I8" s="198" t="s">
        <v>405</v>
      </c>
      <c r="J8" s="198" t="s">
        <v>406</v>
      </c>
      <c r="K8" s="198" t="s">
        <v>407</v>
      </c>
      <c r="L8" s="198" t="s">
        <v>408</v>
      </c>
    </row>
    <row r="9" spans="1:12" ht="63" x14ac:dyDescent="0.25">
      <c r="A9" s="197">
        <v>45797</v>
      </c>
      <c r="B9" s="198" t="s">
        <v>53</v>
      </c>
      <c r="C9" s="198" t="s">
        <v>55</v>
      </c>
      <c r="D9" s="200" t="s">
        <v>56</v>
      </c>
      <c r="E9" s="198" t="s">
        <v>254</v>
      </c>
      <c r="F9" s="198" t="s">
        <v>151</v>
      </c>
      <c r="G9" s="198" t="s">
        <v>387</v>
      </c>
      <c r="H9" s="198" t="s">
        <v>386</v>
      </c>
      <c r="I9" s="198" t="s">
        <v>409</v>
      </c>
      <c r="J9" s="198" t="s">
        <v>410</v>
      </c>
      <c r="K9" s="198" t="s">
        <v>411</v>
      </c>
      <c r="L9" s="198" t="s">
        <v>412</v>
      </c>
    </row>
    <row r="10" spans="1:12" ht="47.25" x14ac:dyDescent="0.25">
      <c r="A10" s="197">
        <v>45797</v>
      </c>
      <c r="B10" s="198" t="s">
        <v>53</v>
      </c>
      <c r="C10" s="198" t="s">
        <v>55</v>
      </c>
      <c r="D10" s="200" t="s">
        <v>57</v>
      </c>
      <c r="E10" s="198" t="s">
        <v>254</v>
      </c>
      <c r="F10" s="198" t="s">
        <v>151</v>
      </c>
      <c r="G10" s="198" t="s">
        <v>387</v>
      </c>
      <c r="H10" s="198" t="s">
        <v>413</v>
      </c>
      <c r="I10" s="198" t="s">
        <v>414</v>
      </c>
      <c r="J10" s="198" t="s">
        <v>415</v>
      </c>
      <c r="K10" s="198" t="s">
        <v>416</v>
      </c>
      <c r="L10" s="198" t="s">
        <v>417</v>
      </c>
    </row>
    <row r="11" spans="1:12" ht="31.5" x14ac:dyDescent="0.25">
      <c r="A11" s="197">
        <v>45797</v>
      </c>
      <c r="B11" s="198" t="s">
        <v>53</v>
      </c>
      <c r="C11" s="198" t="s">
        <v>55</v>
      </c>
      <c r="D11" s="200" t="s">
        <v>58</v>
      </c>
      <c r="E11" s="198" t="s">
        <v>254</v>
      </c>
      <c r="F11" s="198" t="s">
        <v>151</v>
      </c>
      <c r="G11" s="198" t="s">
        <v>387</v>
      </c>
      <c r="H11" s="198" t="s">
        <v>418</v>
      </c>
      <c r="I11" s="198" t="s">
        <v>419</v>
      </c>
      <c r="J11" s="198" t="s">
        <v>420</v>
      </c>
      <c r="K11" s="198" t="s">
        <v>421</v>
      </c>
      <c r="L11" s="198" t="s">
        <v>422</v>
      </c>
    </row>
    <row r="12" spans="1:12" x14ac:dyDescent="0.25">
      <c r="A12" s="13"/>
    </row>
    <row r="13" spans="1:12" x14ac:dyDescent="0.25">
      <c r="A13" s="13"/>
    </row>
    <row r="14" spans="1:12" x14ac:dyDescent="0.25">
      <c r="A14" s="13"/>
    </row>
  </sheetData>
  <mergeCells count="1">
    <mergeCell ref="A1:L1"/>
  </mergeCells>
  <phoneticPr fontId="2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B4:J1000"/>
  <sheetViews>
    <sheetView showGridLines="0" zoomScale="90" zoomScaleNormal="90" workbookViewId="0">
      <selection activeCell="H20" sqref="H20"/>
    </sheetView>
  </sheetViews>
  <sheetFormatPr baseColWidth="10" defaultColWidth="11" defaultRowHeight="15.75" x14ac:dyDescent="0.25"/>
  <cols>
    <col min="1" max="1" width="4.125" customWidth="1"/>
    <col min="2" max="2" width="28.625" bestFit="1" customWidth="1"/>
    <col min="3" max="3" width="46.375" bestFit="1" customWidth="1"/>
    <col min="4" max="4" width="44.375" customWidth="1"/>
    <col min="5" max="5" width="11.125" customWidth="1"/>
    <col min="6" max="7" width="19.75" customWidth="1"/>
    <col min="8" max="8" width="18.875" customWidth="1"/>
    <col min="9" max="9" width="12.25" bestFit="1" customWidth="1"/>
    <col min="10" max="10" width="48" customWidth="1"/>
  </cols>
  <sheetData>
    <row r="4" spans="2:10" ht="28.5" customHeight="1" x14ac:dyDescent="0.25">
      <c r="B4" s="169" t="s">
        <v>59</v>
      </c>
      <c r="C4" s="169"/>
      <c r="D4" s="169"/>
      <c r="E4" s="169"/>
      <c r="F4" s="169"/>
      <c r="G4" s="169"/>
      <c r="H4" s="169"/>
      <c r="I4" s="169"/>
      <c r="J4" s="169"/>
    </row>
    <row r="5" spans="2:10" ht="15.75" customHeight="1" x14ac:dyDescent="0.25">
      <c r="B5" s="33"/>
      <c r="C5" s="33"/>
      <c r="D5" s="33"/>
      <c r="E5" s="33"/>
      <c r="F5" s="33"/>
    </row>
    <row r="7" spans="2:10" ht="19.5" x14ac:dyDescent="0.25">
      <c r="B7" s="14" t="s">
        <v>60</v>
      </c>
      <c r="C7" s="14" t="s">
        <v>0</v>
      </c>
      <c r="D7" s="14" t="s">
        <v>61</v>
      </c>
      <c r="E7" s="14" t="s">
        <v>62</v>
      </c>
      <c r="F7" s="14" t="s">
        <v>63</v>
      </c>
      <c r="G7" s="14" t="s">
        <v>64</v>
      </c>
      <c r="H7" s="14" t="s">
        <v>65</v>
      </c>
      <c r="I7" s="14" t="s">
        <v>66</v>
      </c>
      <c r="J7" s="14" t="s">
        <v>67</v>
      </c>
    </row>
    <row r="8" spans="2:10" x14ac:dyDescent="0.25">
      <c r="B8" s="19">
        <v>45401.416666666664</v>
      </c>
      <c r="C8" s="20" t="s">
        <v>68</v>
      </c>
      <c r="H8" s="15"/>
    </row>
    <row r="9" spans="2:10" ht="47.25" x14ac:dyDescent="0.25">
      <c r="B9" s="19">
        <v>45031.291666666664</v>
      </c>
      <c r="C9" s="20"/>
      <c r="D9" s="13" t="s">
        <v>69</v>
      </c>
      <c r="E9" s="15">
        <v>1</v>
      </c>
      <c r="F9" s="16" t="s">
        <v>70</v>
      </c>
      <c r="G9" s="13" t="s">
        <v>71</v>
      </c>
      <c r="H9" s="16" t="s">
        <v>72</v>
      </c>
      <c r="I9" s="15" t="s">
        <v>73</v>
      </c>
    </row>
    <row r="10" spans="2:10" ht="31.5" x14ac:dyDescent="0.25">
      <c r="B10" s="19">
        <v>45028.333333333336</v>
      </c>
      <c r="C10" s="20"/>
      <c r="D10" s="13" t="s">
        <v>74</v>
      </c>
      <c r="E10" s="15">
        <v>1</v>
      </c>
      <c r="F10" s="16" t="s">
        <v>70</v>
      </c>
      <c r="G10" s="13" t="s">
        <v>75</v>
      </c>
      <c r="H10" s="16" t="s">
        <v>72</v>
      </c>
      <c r="I10" s="15" t="s">
        <v>73</v>
      </c>
    </row>
    <row r="11" spans="2:10" x14ac:dyDescent="0.25">
      <c r="B11" s="19">
        <v>45014.597222222219</v>
      </c>
      <c r="C11" s="20"/>
      <c r="D11" s="13" t="s">
        <v>76</v>
      </c>
      <c r="E11" s="15">
        <v>8</v>
      </c>
      <c r="F11" s="16" t="s">
        <v>77</v>
      </c>
      <c r="G11" s="13" t="s">
        <v>78</v>
      </c>
      <c r="H11" s="16" t="s">
        <v>72</v>
      </c>
      <c r="I11" s="15" t="s">
        <v>73</v>
      </c>
    </row>
    <row r="12" spans="2:10" x14ac:dyDescent="0.25">
      <c r="B12" s="19">
        <v>45014.597222222219</v>
      </c>
      <c r="C12" s="20"/>
      <c r="D12" s="13" t="s">
        <v>79</v>
      </c>
      <c r="E12" s="15">
        <v>18</v>
      </c>
      <c r="F12" s="16" t="s">
        <v>77</v>
      </c>
      <c r="G12" s="13" t="s">
        <v>80</v>
      </c>
      <c r="H12" s="16" t="s">
        <v>72</v>
      </c>
      <c r="I12" s="15" t="s">
        <v>73</v>
      </c>
    </row>
    <row r="13" spans="2:10" x14ac:dyDescent="0.25">
      <c r="B13" s="19">
        <v>45014.597222222219</v>
      </c>
      <c r="C13" s="20"/>
      <c r="D13" s="13" t="s">
        <v>81</v>
      </c>
      <c r="E13" s="15">
        <v>1</v>
      </c>
      <c r="F13" s="16" t="s">
        <v>82</v>
      </c>
      <c r="G13" s="13" t="s">
        <v>83</v>
      </c>
      <c r="H13" s="16" t="s">
        <v>72</v>
      </c>
      <c r="I13" s="15" t="s">
        <v>73</v>
      </c>
    </row>
    <row r="14" spans="2:10" x14ac:dyDescent="0.25">
      <c r="B14" s="19">
        <v>45014.597222222219</v>
      </c>
      <c r="C14" s="20"/>
      <c r="D14" s="13" t="s">
        <v>84</v>
      </c>
      <c r="E14" s="15">
        <v>2</v>
      </c>
      <c r="F14" s="16" t="s">
        <v>82</v>
      </c>
      <c r="G14" s="13" t="s">
        <v>85</v>
      </c>
      <c r="H14" s="16" t="s">
        <v>86</v>
      </c>
      <c r="I14" s="15" t="s">
        <v>87</v>
      </c>
    </row>
    <row r="15" spans="2:10" x14ac:dyDescent="0.25">
      <c r="B15" s="19"/>
      <c r="C15" s="20"/>
      <c r="D15" s="13"/>
      <c r="E15" s="15"/>
      <c r="F15" s="13"/>
      <c r="G15" s="13"/>
      <c r="H15" s="16"/>
    </row>
    <row r="16" spans="2:10" x14ac:dyDescent="0.25">
      <c r="B16" s="19"/>
      <c r="C16" s="20"/>
      <c r="D16" s="13"/>
      <c r="E16" s="15"/>
      <c r="F16" s="13"/>
      <c r="G16" s="13"/>
      <c r="H16" s="16"/>
    </row>
    <row r="17" spans="2:8" x14ac:dyDescent="0.25">
      <c r="B17" s="19"/>
      <c r="C17" s="20"/>
      <c r="D17" s="13"/>
      <c r="E17" s="15"/>
      <c r="F17" s="13"/>
      <c r="G17" s="13"/>
      <c r="H17" s="16"/>
    </row>
    <row r="18" spans="2:8" x14ac:dyDescent="0.25">
      <c r="B18" s="19"/>
      <c r="C18" s="20"/>
      <c r="D18" s="13"/>
      <c r="E18" s="15"/>
      <c r="F18" s="13"/>
      <c r="G18" s="13"/>
      <c r="H18" s="16"/>
    </row>
    <row r="19" spans="2:8" x14ac:dyDescent="0.25">
      <c r="B19" s="19"/>
      <c r="C19" s="20"/>
      <c r="D19" s="13"/>
      <c r="E19" s="15"/>
      <c r="F19" s="13"/>
      <c r="G19" s="13"/>
      <c r="H19" s="16"/>
    </row>
    <row r="20" spans="2:8" x14ac:dyDescent="0.25">
      <c r="B20" s="19"/>
      <c r="C20" s="20"/>
      <c r="D20" s="13"/>
      <c r="E20" s="15"/>
      <c r="F20" s="13"/>
      <c r="G20" s="13"/>
      <c r="H20" s="16"/>
    </row>
    <row r="21" spans="2:8" x14ac:dyDescent="0.25">
      <c r="B21" s="19"/>
      <c r="C21" s="20"/>
      <c r="D21" s="13"/>
      <c r="E21" s="15"/>
      <c r="F21" s="13"/>
      <c r="G21" s="13"/>
      <c r="H21" s="16"/>
    </row>
    <row r="22" spans="2:8" x14ac:dyDescent="0.25">
      <c r="B22" s="19"/>
      <c r="C22" s="20"/>
      <c r="D22" s="13"/>
      <c r="E22" s="15"/>
      <c r="F22" s="13"/>
      <c r="G22" s="13"/>
      <c r="H22" s="16"/>
    </row>
    <row r="23" spans="2:8" x14ac:dyDescent="0.25">
      <c r="B23" s="19"/>
      <c r="C23" s="20"/>
      <c r="D23" s="13"/>
      <c r="E23" s="15"/>
      <c r="F23" s="13"/>
      <c r="G23" s="13"/>
      <c r="H23" s="16"/>
    </row>
    <row r="24" spans="2:8" x14ac:dyDescent="0.25">
      <c r="B24" s="19"/>
      <c r="C24" s="20"/>
      <c r="D24" s="13"/>
      <c r="E24" s="15"/>
      <c r="F24" s="13"/>
      <c r="G24" s="13"/>
      <c r="H24" s="16"/>
    </row>
    <row r="25" spans="2:8" x14ac:dyDescent="0.25">
      <c r="B25" s="19"/>
      <c r="C25" s="20"/>
      <c r="D25" s="13"/>
      <c r="E25" s="15"/>
      <c r="F25" s="13"/>
      <c r="G25" s="13"/>
      <c r="H25" s="16"/>
    </row>
    <row r="26" spans="2:8" x14ac:dyDescent="0.25">
      <c r="B26" s="19"/>
      <c r="C26" s="20"/>
      <c r="D26" s="13"/>
      <c r="E26" s="15"/>
      <c r="F26" s="13"/>
      <c r="G26" s="13"/>
      <c r="H26" s="13"/>
    </row>
    <row r="27" spans="2:8" x14ac:dyDescent="0.25">
      <c r="B27" s="19"/>
      <c r="C27" s="20"/>
      <c r="D27" s="13"/>
      <c r="E27" s="15"/>
      <c r="F27" s="13"/>
      <c r="G27" s="13"/>
      <c r="H27" s="13"/>
    </row>
    <row r="28" spans="2:8" x14ac:dyDescent="0.25">
      <c r="B28" s="19"/>
      <c r="C28" s="20"/>
      <c r="D28" s="13"/>
      <c r="E28" s="15"/>
      <c r="F28" s="13"/>
      <c r="G28" s="13"/>
      <c r="H28" s="13"/>
    </row>
    <row r="29" spans="2:8" x14ac:dyDescent="0.25">
      <c r="B29" s="19"/>
      <c r="C29" s="20"/>
      <c r="D29" s="13"/>
      <c r="E29" s="15"/>
      <c r="F29" s="13"/>
      <c r="G29" s="13"/>
      <c r="H29" s="13"/>
    </row>
    <row r="30" spans="2:8" x14ac:dyDescent="0.25">
      <c r="B30" s="19"/>
      <c r="C30" s="20"/>
      <c r="D30" s="13"/>
      <c r="E30" s="15"/>
      <c r="F30" s="13"/>
      <c r="G30" s="13"/>
      <c r="H30" s="13"/>
    </row>
    <row r="31" spans="2:8" x14ac:dyDescent="0.25">
      <c r="B31" s="19"/>
      <c r="C31" s="20"/>
      <c r="D31" s="13"/>
      <c r="E31" s="15"/>
      <c r="F31" s="13"/>
      <c r="G31" s="13"/>
      <c r="H31" s="13"/>
    </row>
    <row r="32" spans="2:8" x14ac:dyDescent="0.25">
      <c r="B32" s="19"/>
      <c r="C32" s="20"/>
      <c r="D32" s="13"/>
      <c r="E32" s="15"/>
      <c r="F32" s="13"/>
      <c r="G32" s="13"/>
      <c r="H32" s="13"/>
    </row>
    <row r="33" spans="2:8" x14ac:dyDescent="0.25">
      <c r="B33" s="19"/>
      <c r="C33" s="20"/>
      <c r="D33" s="13"/>
      <c r="F33" s="13"/>
      <c r="G33" s="13"/>
      <c r="H33" s="13"/>
    </row>
    <row r="34" spans="2:8" x14ac:dyDescent="0.25">
      <c r="B34" s="19"/>
      <c r="C34" s="20"/>
      <c r="D34" s="13"/>
      <c r="F34" s="13"/>
      <c r="G34" s="13"/>
      <c r="H34" s="13"/>
    </row>
    <row r="35" spans="2:8" x14ac:dyDescent="0.25">
      <c r="B35" s="19"/>
      <c r="C35" s="20"/>
      <c r="D35" s="13"/>
      <c r="F35" s="13"/>
      <c r="G35" s="13"/>
      <c r="H35" s="13"/>
    </row>
    <row r="36" spans="2:8" x14ac:dyDescent="0.25">
      <c r="B36" s="19"/>
      <c r="C36" s="20"/>
      <c r="D36" s="13"/>
      <c r="F36" s="13"/>
      <c r="G36" s="13"/>
      <c r="H36" s="13"/>
    </row>
    <row r="37" spans="2:8" x14ac:dyDescent="0.25">
      <c r="B37" s="19"/>
      <c r="C37" s="20"/>
      <c r="D37" s="13"/>
      <c r="F37" s="13"/>
      <c r="G37" s="13"/>
      <c r="H37" s="13"/>
    </row>
    <row r="38" spans="2:8" x14ac:dyDescent="0.25">
      <c r="B38" s="19"/>
      <c r="C38" s="20"/>
      <c r="D38" s="13"/>
      <c r="F38" s="13"/>
      <c r="G38" s="13"/>
      <c r="H38" s="13"/>
    </row>
    <row r="39" spans="2:8" x14ac:dyDescent="0.25">
      <c r="B39" s="19"/>
      <c r="C39" s="20"/>
    </row>
    <row r="40" spans="2:8" x14ac:dyDescent="0.25">
      <c r="B40" s="19"/>
      <c r="C40" s="20"/>
    </row>
    <row r="41" spans="2:8" x14ac:dyDescent="0.25">
      <c r="B41" s="19"/>
      <c r="C41" s="20"/>
    </row>
    <row r="42" spans="2:8" x14ac:dyDescent="0.25">
      <c r="B42" s="19"/>
      <c r="C42" s="20"/>
    </row>
    <row r="43" spans="2:8" x14ac:dyDescent="0.25">
      <c r="B43" s="19"/>
      <c r="C43" s="20"/>
    </row>
    <row r="44" spans="2:8" x14ac:dyDescent="0.25">
      <c r="B44" s="19"/>
      <c r="C44" s="20"/>
    </row>
    <row r="45" spans="2:8" x14ac:dyDescent="0.25">
      <c r="B45" s="19"/>
      <c r="C45" s="20"/>
    </row>
    <row r="46" spans="2:8" x14ac:dyDescent="0.25">
      <c r="B46" s="19"/>
      <c r="C46" s="20"/>
    </row>
    <row r="47" spans="2:8" x14ac:dyDescent="0.25">
      <c r="B47" s="19"/>
      <c r="C47" s="20"/>
    </row>
    <row r="48" spans="2:8" x14ac:dyDescent="0.25">
      <c r="B48" s="19"/>
      <c r="C48" s="20"/>
    </row>
    <row r="49" spans="2:3" x14ac:dyDescent="0.25">
      <c r="B49" s="19"/>
      <c r="C49" s="20"/>
    </row>
    <row r="50" spans="2:3" x14ac:dyDescent="0.25">
      <c r="B50" s="19"/>
      <c r="C50" s="20"/>
    </row>
    <row r="51" spans="2:3" x14ac:dyDescent="0.25">
      <c r="B51" s="19"/>
      <c r="C51" s="20"/>
    </row>
    <row r="52" spans="2:3" x14ac:dyDescent="0.25">
      <c r="B52" s="19"/>
      <c r="C52" s="20"/>
    </row>
    <row r="53" spans="2:3" x14ac:dyDescent="0.25">
      <c r="B53" s="19"/>
      <c r="C53" s="20"/>
    </row>
    <row r="54" spans="2:3" x14ac:dyDescent="0.25">
      <c r="B54" s="19"/>
      <c r="C54" s="20"/>
    </row>
    <row r="55" spans="2:3" x14ac:dyDescent="0.25">
      <c r="B55" s="19"/>
      <c r="C55" s="20"/>
    </row>
    <row r="56" spans="2:3" x14ac:dyDescent="0.25">
      <c r="B56" s="19"/>
      <c r="C56" s="20"/>
    </row>
    <row r="57" spans="2:3" x14ac:dyDescent="0.25">
      <c r="B57" s="19"/>
      <c r="C57" s="20"/>
    </row>
    <row r="58" spans="2:3" x14ac:dyDescent="0.25">
      <c r="B58" s="19"/>
      <c r="C58" s="20"/>
    </row>
    <row r="59" spans="2:3" x14ac:dyDescent="0.25">
      <c r="B59" s="19"/>
      <c r="C59" s="20"/>
    </row>
    <row r="60" spans="2:3" x14ac:dyDescent="0.25">
      <c r="B60" s="19"/>
      <c r="C60" s="20"/>
    </row>
    <row r="61" spans="2:3" x14ac:dyDescent="0.25">
      <c r="B61" s="19"/>
      <c r="C61" s="20"/>
    </row>
    <row r="62" spans="2:3" x14ac:dyDescent="0.25">
      <c r="B62" s="19"/>
      <c r="C62" s="20"/>
    </row>
    <row r="63" spans="2:3" x14ac:dyDescent="0.25">
      <c r="B63" s="19"/>
      <c r="C63" s="20"/>
    </row>
    <row r="64" spans="2:3" x14ac:dyDescent="0.25">
      <c r="B64" s="19"/>
      <c r="C64" s="20"/>
    </row>
    <row r="65" spans="2:3" x14ac:dyDescent="0.25">
      <c r="B65" s="19"/>
      <c r="C65" s="20"/>
    </row>
    <row r="66" spans="2:3" x14ac:dyDescent="0.25">
      <c r="B66" s="19"/>
      <c r="C66" s="20"/>
    </row>
    <row r="67" spans="2:3" x14ac:dyDescent="0.25">
      <c r="B67" s="19"/>
      <c r="C67" s="20"/>
    </row>
    <row r="68" spans="2:3" x14ac:dyDescent="0.25">
      <c r="B68" s="19"/>
      <c r="C68" s="20"/>
    </row>
    <row r="69" spans="2:3" x14ac:dyDescent="0.25">
      <c r="B69" s="19"/>
      <c r="C69" s="20"/>
    </row>
    <row r="70" spans="2:3" x14ac:dyDescent="0.25">
      <c r="B70" s="19"/>
      <c r="C70" s="20"/>
    </row>
    <row r="71" spans="2:3" x14ac:dyDescent="0.25">
      <c r="B71" s="19"/>
      <c r="C71" s="20"/>
    </row>
    <row r="72" spans="2:3" x14ac:dyDescent="0.25">
      <c r="B72" s="19"/>
      <c r="C72" s="20"/>
    </row>
    <row r="73" spans="2:3" x14ac:dyDescent="0.25">
      <c r="B73" s="19"/>
      <c r="C73" s="20"/>
    </row>
    <row r="74" spans="2:3" x14ac:dyDescent="0.25">
      <c r="B74" s="19"/>
      <c r="C74" s="20"/>
    </row>
    <row r="75" spans="2:3" x14ac:dyDescent="0.25">
      <c r="B75" s="19"/>
      <c r="C75" s="20"/>
    </row>
    <row r="76" spans="2:3" x14ac:dyDescent="0.25">
      <c r="B76" s="19"/>
      <c r="C76" s="20"/>
    </row>
    <row r="77" spans="2:3" x14ac:dyDescent="0.25">
      <c r="B77" s="19"/>
      <c r="C77" s="20"/>
    </row>
    <row r="78" spans="2:3" x14ac:dyDescent="0.25">
      <c r="B78" s="19"/>
      <c r="C78" s="20"/>
    </row>
    <row r="79" spans="2:3" x14ac:dyDescent="0.25">
      <c r="B79" s="19"/>
      <c r="C79" s="20"/>
    </row>
    <row r="80" spans="2:3" x14ac:dyDescent="0.25">
      <c r="B80" s="19"/>
      <c r="C80" s="20"/>
    </row>
    <row r="81" spans="2:3" x14ac:dyDescent="0.25">
      <c r="B81" s="19"/>
      <c r="C81" s="20"/>
    </row>
    <row r="82" spans="2:3" x14ac:dyDescent="0.25">
      <c r="B82" s="19"/>
      <c r="C82" s="20"/>
    </row>
    <row r="83" spans="2:3" x14ac:dyDescent="0.25">
      <c r="B83" s="19"/>
      <c r="C83" s="20"/>
    </row>
    <row r="84" spans="2:3" x14ac:dyDescent="0.25">
      <c r="B84" s="19"/>
      <c r="C84" s="20"/>
    </row>
    <row r="85" spans="2:3" x14ac:dyDescent="0.25">
      <c r="B85" s="19"/>
      <c r="C85" s="20"/>
    </row>
    <row r="86" spans="2:3" x14ac:dyDescent="0.25">
      <c r="B86" s="19"/>
      <c r="C86" s="20"/>
    </row>
    <row r="87" spans="2:3" x14ac:dyDescent="0.25">
      <c r="B87" s="19"/>
      <c r="C87" s="20"/>
    </row>
    <row r="88" spans="2:3" x14ac:dyDescent="0.25">
      <c r="B88" s="19"/>
      <c r="C88" s="20"/>
    </row>
    <row r="89" spans="2:3" x14ac:dyDescent="0.25">
      <c r="B89" s="19"/>
      <c r="C89" s="20"/>
    </row>
    <row r="90" spans="2:3" x14ac:dyDescent="0.25">
      <c r="B90" s="19"/>
      <c r="C90" s="20"/>
    </row>
    <row r="91" spans="2:3" x14ac:dyDescent="0.25">
      <c r="B91" s="19"/>
      <c r="C91" s="20"/>
    </row>
    <row r="92" spans="2:3" x14ac:dyDescent="0.25">
      <c r="B92" s="19"/>
      <c r="C92" s="20"/>
    </row>
    <row r="93" spans="2:3" x14ac:dyDescent="0.25">
      <c r="B93" s="19"/>
      <c r="C93" s="20"/>
    </row>
    <row r="94" spans="2:3" x14ac:dyDescent="0.25">
      <c r="B94" s="19"/>
      <c r="C94" s="20"/>
    </row>
    <row r="95" spans="2:3" x14ac:dyDescent="0.25">
      <c r="B95" s="19"/>
      <c r="C95" s="20"/>
    </row>
    <row r="96" spans="2:3" x14ac:dyDescent="0.25">
      <c r="B96" s="19"/>
      <c r="C96" s="20"/>
    </row>
    <row r="97" spans="2:3" x14ac:dyDescent="0.25">
      <c r="B97" s="19"/>
      <c r="C97" s="20"/>
    </row>
    <row r="98" spans="2:3" x14ac:dyDescent="0.25">
      <c r="B98" s="19"/>
      <c r="C98" s="20"/>
    </row>
    <row r="99" spans="2:3" x14ac:dyDescent="0.25">
      <c r="B99" s="19"/>
      <c r="C99" s="20"/>
    </row>
    <row r="100" spans="2:3" x14ac:dyDescent="0.25">
      <c r="B100" s="19"/>
      <c r="C100" s="20"/>
    </row>
    <row r="101" spans="2:3" x14ac:dyDescent="0.25">
      <c r="B101" s="19"/>
      <c r="C101" s="20"/>
    </row>
    <row r="102" spans="2:3" x14ac:dyDescent="0.25">
      <c r="B102" s="19"/>
      <c r="C102" s="20"/>
    </row>
    <row r="103" spans="2:3" x14ac:dyDescent="0.25">
      <c r="B103" s="19"/>
      <c r="C103" s="20"/>
    </row>
    <row r="104" spans="2:3" x14ac:dyDescent="0.25">
      <c r="B104" s="19"/>
      <c r="C104" s="20"/>
    </row>
    <row r="105" spans="2:3" x14ac:dyDescent="0.25">
      <c r="B105" s="19"/>
      <c r="C105" s="20"/>
    </row>
    <row r="106" spans="2:3" x14ac:dyDescent="0.25">
      <c r="B106" s="19"/>
      <c r="C106" s="20"/>
    </row>
    <row r="107" spans="2:3" x14ac:dyDescent="0.25">
      <c r="B107" s="19"/>
      <c r="C107" s="20"/>
    </row>
    <row r="108" spans="2:3" x14ac:dyDescent="0.25">
      <c r="B108" s="19"/>
      <c r="C108" s="20"/>
    </row>
    <row r="109" spans="2:3" x14ac:dyDescent="0.25">
      <c r="B109" s="19"/>
      <c r="C109" s="20"/>
    </row>
    <row r="110" spans="2:3" x14ac:dyDescent="0.25">
      <c r="B110" s="19"/>
      <c r="C110" s="20"/>
    </row>
    <row r="111" spans="2:3" x14ac:dyDescent="0.25">
      <c r="B111" s="19"/>
      <c r="C111" s="20"/>
    </row>
    <row r="112" spans="2:3" x14ac:dyDescent="0.25">
      <c r="B112" s="19"/>
      <c r="C112" s="20"/>
    </row>
    <row r="113" spans="2:3" x14ac:dyDescent="0.25">
      <c r="B113" s="19"/>
      <c r="C113" s="20"/>
    </row>
    <row r="114" spans="2:3" x14ac:dyDescent="0.25">
      <c r="B114" s="19"/>
      <c r="C114" s="20"/>
    </row>
    <row r="115" spans="2:3" x14ac:dyDescent="0.25">
      <c r="B115" s="19"/>
      <c r="C115" s="20"/>
    </row>
    <row r="116" spans="2:3" x14ac:dyDescent="0.25">
      <c r="B116" s="19"/>
      <c r="C116" s="20"/>
    </row>
    <row r="117" spans="2:3" x14ac:dyDescent="0.25">
      <c r="B117" s="19"/>
      <c r="C117" s="20"/>
    </row>
    <row r="118" spans="2:3" x14ac:dyDescent="0.25">
      <c r="B118" s="19"/>
      <c r="C118" s="20"/>
    </row>
    <row r="119" spans="2:3" x14ac:dyDescent="0.25">
      <c r="B119" s="19"/>
      <c r="C119" s="20"/>
    </row>
    <row r="120" spans="2:3" x14ac:dyDescent="0.25">
      <c r="B120" s="19"/>
      <c r="C120" s="20"/>
    </row>
    <row r="121" spans="2:3" x14ac:dyDescent="0.25">
      <c r="B121" s="19"/>
      <c r="C121" s="20"/>
    </row>
    <row r="122" spans="2:3" x14ac:dyDescent="0.25">
      <c r="B122" s="19"/>
      <c r="C122" s="20"/>
    </row>
    <row r="123" spans="2:3" x14ac:dyDescent="0.25">
      <c r="B123" s="19"/>
      <c r="C123" s="20"/>
    </row>
    <row r="124" spans="2:3" x14ac:dyDescent="0.25">
      <c r="B124" s="19"/>
      <c r="C124" s="20"/>
    </row>
    <row r="125" spans="2:3" x14ac:dyDescent="0.25">
      <c r="B125" s="19"/>
      <c r="C125" s="20"/>
    </row>
    <row r="126" spans="2:3" x14ac:dyDescent="0.25">
      <c r="B126" s="19"/>
      <c r="C126" s="20"/>
    </row>
    <row r="127" spans="2:3" x14ac:dyDescent="0.25">
      <c r="B127" s="19"/>
      <c r="C127" s="20"/>
    </row>
    <row r="128" spans="2:3" x14ac:dyDescent="0.25">
      <c r="B128" s="19"/>
      <c r="C128" s="20"/>
    </row>
    <row r="129" spans="2:3" x14ac:dyDescent="0.25">
      <c r="B129" s="19"/>
      <c r="C129" s="20"/>
    </row>
    <row r="130" spans="2:3" x14ac:dyDescent="0.25">
      <c r="B130" s="19"/>
      <c r="C130" s="20"/>
    </row>
    <row r="131" spans="2:3" x14ac:dyDescent="0.25">
      <c r="B131" s="19"/>
      <c r="C131" s="20"/>
    </row>
    <row r="132" spans="2:3" x14ac:dyDescent="0.25">
      <c r="B132" s="19"/>
      <c r="C132" s="20"/>
    </row>
    <row r="133" spans="2:3" x14ac:dyDescent="0.25">
      <c r="B133" s="19"/>
      <c r="C133" s="20"/>
    </row>
    <row r="134" spans="2:3" x14ac:dyDescent="0.25">
      <c r="B134" s="19"/>
      <c r="C134" s="20"/>
    </row>
    <row r="135" spans="2:3" x14ac:dyDescent="0.25">
      <c r="B135" s="19"/>
      <c r="C135" s="20"/>
    </row>
    <row r="136" spans="2:3" x14ac:dyDescent="0.25">
      <c r="B136" s="19"/>
      <c r="C136" s="20"/>
    </row>
    <row r="137" spans="2:3" x14ac:dyDescent="0.25">
      <c r="B137" s="19"/>
      <c r="C137" s="20"/>
    </row>
    <row r="138" spans="2:3" x14ac:dyDescent="0.25">
      <c r="B138" s="19"/>
      <c r="C138" s="20"/>
    </row>
    <row r="139" spans="2:3" x14ac:dyDescent="0.25">
      <c r="B139" s="19"/>
      <c r="C139" s="20"/>
    </row>
    <row r="140" spans="2:3" x14ac:dyDescent="0.25">
      <c r="B140" s="19"/>
      <c r="C140" s="20"/>
    </row>
    <row r="141" spans="2:3" x14ac:dyDescent="0.25">
      <c r="B141" s="19"/>
      <c r="C141" s="20"/>
    </row>
    <row r="142" spans="2:3" x14ac:dyDescent="0.25">
      <c r="B142" s="19"/>
      <c r="C142" s="20"/>
    </row>
    <row r="143" spans="2:3" x14ac:dyDescent="0.25">
      <c r="B143" s="19"/>
      <c r="C143" s="20"/>
    </row>
    <row r="144" spans="2:3" x14ac:dyDescent="0.25">
      <c r="B144" s="19"/>
      <c r="C144" s="20"/>
    </row>
    <row r="145" spans="2:3" x14ac:dyDescent="0.25">
      <c r="B145" s="19"/>
      <c r="C145" s="20"/>
    </row>
    <row r="146" spans="2:3" x14ac:dyDescent="0.25">
      <c r="B146" s="19"/>
      <c r="C146" s="20"/>
    </row>
    <row r="147" spans="2:3" x14ac:dyDescent="0.25">
      <c r="B147" s="19"/>
      <c r="C147" s="20"/>
    </row>
    <row r="148" spans="2:3" x14ac:dyDescent="0.25">
      <c r="B148" s="19"/>
      <c r="C148" s="20"/>
    </row>
    <row r="149" spans="2:3" x14ac:dyDescent="0.25">
      <c r="B149" s="19"/>
      <c r="C149" s="20"/>
    </row>
    <row r="150" spans="2:3" x14ac:dyDescent="0.25">
      <c r="B150" s="19"/>
      <c r="C150" s="20"/>
    </row>
    <row r="151" spans="2:3" x14ac:dyDescent="0.25">
      <c r="B151" s="19"/>
      <c r="C151" s="20"/>
    </row>
    <row r="152" spans="2:3" x14ac:dyDescent="0.25">
      <c r="B152" s="19"/>
      <c r="C152" s="20"/>
    </row>
    <row r="153" spans="2:3" x14ac:dyDescent="0.25">
      <c r="B153" s="19"/>
      <c r="C153" s="20"/>
    </row>
    <row r="154" spans="2:3" x14ac:dyDescent="0.25">
      <c r="B154" s="19"/>
      <c r="C154" s="20"/>
    </row>
    <row r="155" spans="2:3" x14ac:dyDescent="0.25">
      <c r="B155" s="19"/>
      <c r="C155" s="20"/>
    </row>
    <row r="156" spans="2:3" x14ac:dyDescent="0.25">
      <c r="B156" s="19"/>
      <c r="C156" s="20"/>
    </row>
    <row r="157" spans="2:3" x14ac:dyDescent="0.25">
      <c r="B157" s="19"/>
      <c r="C157" s="20"/>
    </row>
    <row r="158" spans="2:3" x14ac:dyDescent="0.25">
      <c r="B158" s="19"/>
      <c r="C158" s="20"/>
    </row>
    <row r="159" spans="2:3" x14ac:dyDescent="0.25">
      <c r="B159" s="19"/>
      <c r="C159" s="20"/>
    </row>
    <row r="160" spans="2:3" x14ac:dyDescent="0.25">
      <c r="B160" s="19"/>
      <c r="C160" s="20"/>
    </row>
    <row r="161" spans="2:3" x14ac:dyDescent="0.25">
      <c r="B161" s="19"/>
      <c r="C161" s="20"/>
    </row>
    <row r="162" spans="2:3" x14ac:dyDescent="0.25">
      <c r="B162" s="19"/>
      <c r="C162" s="20"/>
    </row>
    <row r="163" spans="2:3" x14ac:dyDescent="0.25">
      <c r="B163" s="19"/>
      <c r="C163" s="20"/>
    </row>
    <row r="164" spans="2:3" x14ac:dyDescent="0.25">
      <c r="B164" s="19"/>
      <c r="C164" s="20"/>
    </row>
    <row r="165" spans="2:3" x14ac:dyDescent="0.25">
      <c r="B165" s="19"/>
      <c r="C165" s="20"/>
    </row>
    <row r="166" spans="2:3" x14ac:dyDescent="0.25">
      <c r="B166" s="19"/>
      <c r="C166" s="20"/>
    </row>
    <row r="167" spans="2:3" x14ac:dyDescent="0.25">
      <c r="B167" s="19"/>
      <c r="C167" s="20"/>
    </row>
    <row r="168" spans="2:3" x14ac:dyDescent="0.25">
      <c r="B168" s="19"/>
      <c r="C168" s="20"/>
    </row>
    <row r="169" spans="2:3" x14ac:dyDescent="0.25">
      <c r="B169" s="19"/>
      <c r="C169" s="20"/>
    </row>
    <row r="170" spans="2:3" x14ac:dyDescent="0.25">
      <c r="B170" s="19"/>
      <c r="C170" s="20"/>
    </row>
    <row r="171" spans="2:3" x14ac:dyDescent="0.25">
      <c r="B171" s="19"/>
      <c r="C171" s="20"/>
    </row>
    <row r="172" spans="2:3" x14ac:dyDescent="0.25">
      <c r="B172" s="19"/>
      <c r="C172" s="20"/>
    </row>
    <row r="173" spans="2:3" x14ac:dyDescent="0.25">
      <c r="B173" s="19"/>
      <c r="C173" s="20"/>
    </row>
    <row r="174" spans="2:3" x14ac:dyDescent="0.25">
      <c r="B174" s="19"/>
      <c r="C174" s="20"/>
    </row>
    <row r="175" spans="2:3" x14ac:dyDescent="0.25">
      <c r="B175" s="19"/>
      <c r="C175" s="20"/>
    </row>
    <row r="176" spans="2:3" x14ac:dyDescent="0.25">
      <c r="B176" s="19"/>
      <c r="C176" s="20"/>
    </row>
    <row r="177" spans="2:3" x14ac:dyDescent="0.25">
      <c r="B177" s="19"/>
      <c r="C177" s="20"/>
    </row>
    <row r="178" spans="2:3" x14ac:dyDescent="0.25">
      <c r="B178" s="19"/>
      <c r="C178" s="20"/>
    </row>
    <row r="179" spans="2:3" x14ac:dyDescent="0.25">
      <c r="B179" s="19"/>
      <c r="C179" s="20"/>
    </row>
    <row r="180" spans="2:3" x14ac:dyDescent="0.25">
      <c r="B180" s="19"/>
      <c r="C180" s="20"/>
    </row>
    <row r="181" spans="2:3" x14ac:dyDescent="0.25">
      <c r="B181" s="19"/>
      <c r="C181" s="20"/>
    </row>
    <row r="182" spans="2:3" x14ac:dyDescent="0.25">
      <c r="B182" s="19"/>
      <c r="C182" s="20"/>
    </row>
    <row r="183" spans="2:3" x14ac:dyDescent="0.25">
      <c r="B183" s="19"/>
      <c r="C183" s="20"/>
    </row>
    <row r="184" spans="2:3" x14ac:dyDescent="0.25">
      <c r="B184" s="19"/>
      <c r="C184" s="20"/>
    </row>
    <row r="185" spans="2:3" x14ac:dyDescent="0.25">
      <c r="B185" s="19"/>
      <c r="C185" s="20"/>
    </row>
    <row r="186" spans="2:3" x14ac:dyDescent="0.25">
      <c r="B186" s="19"/>
      <c r="C186" s="20"/>
    </row>
    <row r="187" spans="2:3" x14ac:dyDescent="0.25">
      <c r="B187" s="19"/>
      <c r="C187" s="20"/>
    </row>
    <row r="188" spans="2:3" x14ac:dyDescent="0.25">
      <c r="B188" s="19"/>
      <c r="C188" s="20"/>
    </row>
    <row r="189" spans="2:3" x14ac:dyDescent="0.25">
      <c r="B189" s="19"/>
      <c r="C189" s="20"/>
    </row>
    <row r="190" spans="2:3" x14ac:dyDescent="0.25">
      <c r="B190" s="19"/>
      <c r="C190" s="20"/>
    </row>
    <row r="191" spans="2:3" x14ac:dyDescent="0.25">
      <c r="B191" s="19"/>
      <c r="C191" s="20"/>
    </row>
    <row r="192" spans="2:3" x14ac:dyDescent="0.25">
      <c r="B192" s="19"/>
      <c r="C192" s="20"/>
    </row>
    <row r="193" spans="2:3" x14ac:dyDescent="0.25">
      <c r="B193" s="19"/>
      <c r="C193" s="20"/>
    </row>
    <row r="194" spans="2:3" x14ac:dyDescent="0.25">
      <c r="B194" s="19"/>
      <c r="C194" s="20"/>
    </row>
    <row r="195" spans="2:3" x14ac:dyDescent="0.25">
      <c r="B195" s="19"/>
      <c r="C195" s="20"/>
    </row>
    <row r="196" spans="2:3" x14ac:dyDescent="0.25">
      <c r="B196" s="19"/>
      <c r="C196" s="20"/>
    </row>
    <row r="197" spans="2:3" x14ac:dyDescent="0.25">
      <c r="B197" s="19"/>
      <c r="C197" s="20"/>
    </row>
    <row r="198" spans="2:3" x14ac:dyDescent="0.25">
      <c r="B198" s="19"/>
      <c r="C198" s="20"/>
    </row>
    <row r="199" spans="2:3" x14ac:dyDescent="0.25">
      <c r="B199" s="19"/>
      <c r="C199" s="20"/>
    </row>
    <row r="200" spans="2:3" x14ac:dyDescent="0.25">
      <c r="B200" s="19"/>
      <c r="C200" s="20"/>
    </row>
    <row r="201" spans="2:3" x14ac:dyDescent="0.25">
      <c r="B201" s="19"/>
      <c r="C201" s="20"/>
    </row>
    <row r="202" spans="2:3" x14ac:dyDescent="0.25">
      <c r="B202" s="19"/>
      <c r="C202" s="20"/>
    </row>
    <row r="203" spans="2:3" x14ac:dyDescent="0.25">
      <c r="B203" s="19"/>
      <c r="C203" s="20"/>
    </row>
    <row r="204" spans="2:3" x14ac:dyDescent="0.25">
      <c r="B204" s="19"/>
      <c r="C204" s="20"/>
    </row>
    <row r="205" spans="2:3" x14ac:dyDescent="0.25">
      <c r="B205" s="19"/>
      <c r="C205" s="20"/>
    </row>
    <row r="206" spans="2:3" x14ac:dyDescent="0.25">
      <c r="B206" s="19"/>
      <c r="C206" s="20"/>
    </row>
    <row r="207" spans="2:3" x14ac:dyDescent="0.25">
      <c r="B207" s="19"/>
      <c r="C207" s="20"/>
    </row>
    <row r="208" spans="2:3" x14ac:dyDescent="0.25">
      <c r="B208" s="19"/>
      <c r="C208" s="20"/>
    </row>
    <row r="209" spans="2:3" x14ac:dyDescent="0.25">
      <c r="B209" s="19"/>
      <c r="C209" s="20"/>
    </row>
    <row r="210" spans="2:3" x14ac:dyDescent="0.25">
      <c r="B210" s="19"/>
      <c r="C210" s="20"/>
    </row>
    <row r="211" spans="2:3" x14ac:dyDescent="0.25">
      <c r="B211" s="19"/>
      <c r="C211" s="20"/>
    </row>
    <row r="212" spans="2:3" x14ac:dyDescent="0.25">
      <c r="B212" s="19"/>
      <c r="C212" s="20"/>
    </row>
    <row r="213" spans="2:3" x14ac:dyDescent="0.25">
      <c r="B213" s="19"/>
      <c r="C213" s="20"/>
    </row>
    <row r="214" spans="2:3" x14ac:dyDescent="0.25">
      <c r="B214" s="19"/>
      <c r="C214" s="20"/>
    </row>
    <row r="215" spans="2:3" x14ac:dyDescent="0.25">
      <c r="B215" s="19"/>
      <c r="C215" s="20"/>
    </row>
    <row r="216" spans="2:3" x14ac:dyDescent="0.25">
      <c r="B216" s="19"/>
      <c r="C216" s="20"/>
    </row>
    <row r="217" spans="2:3" x14ac:dyDescent="0.25">
      <c r="B217" s="19"/>
      <c r="C217" s="20"/>
    </row>
    <row r="218" spans="2:3" x14ac:dyDescent="0.25">
      <c r="B218" s="19"/>
      <c r="C218" s="20"/>
    </row>
    <row r="219" spans="2:3" x14ac:dyDescent="0.25">
      <c r="B219" s="19"/>
      <c r="C219" s="20"/>
    </row>
    <row r="220" spans="2:3" x14ac:dyDescent="0.25">
      <c r="B220" s="19"/>
      <c r="C220" s="20"/>
    </row>
    <row r="221" spans="2:3" x14ac:dyDescent="0.25">
      <c r="B221" s="19"/>
      <c r="C221" s="20"/>
    </row>
    <row r="222" spans="2:3" x14ac:dyDescent="0.25">
      <c r="B222" s="19"/>
      <c r="C222" s="20"/>
    </row>
    <row r="223" spans="2:3" x14ac:dyDescent="0.25">
      <c r="B223" s="19"/>
      <c r="C223" s="20"/>
    </row>
    <row r="224" spans="2:3" x14ac:dyDescent="0.25">
      <c r="B224" s="19"/>
      <c r="C224" s="20"/>
    </row>
    <row r="225" spans="2:3" x14ac:dyDescent="0.25">
      <c r="B225" s="19"/>
      <c r="C225" s="20"/>
    </row>
    <row r="226" spans="2:3" x14ac:dyDescent="0.25">
      <c r="B226" s="19"/>
      <c r="C226" s="20"/>
    </row>
    <row r="227" spans="2:3" x14ac:dyDescent="0.25">
      <c r="B227" s="19"/>
      <c r="C227" s="20"/>
    </row>
    <row r="228" spans="2:3" x14ac:dyDescent="0.25">
      <c r="B228" s="19"/>
      <c r="C228" s="20"/>
    </row>
    <row r="229" spans="2:3" x14ac:dyDescent="0.25">
      <c r="B229" s="19"/>
      <c r="C229" s="20"/>
    </row>
    <row r="230" spans="2:3" x14ac:dyDescent="0.25">
      <c r="B230" s="19"/>
      <c r="C230" s="20"/>
    </row>
    <row r="231" spans="2:3" x14ac:dyDescent="0.25">
      <c r="B231" s="19"/>
      <c r="C231" s="20"/>
    </row>
    <row r="232" spans="2:3" x14ac:dyDescent="0.25">
      <c r="B232" s="19"/>
      <c r="C232" s="20"/>
    </row>
    <row r="233" spans="2:3" x14ac:dyDescent="0.25">
      <c r="B233" s="19"/>
      <c r="C233" s="20"/>
    </row>
    <row r="234" spans="2:3" x14ac:dyDescent="0.25">
      <c r="B234" s="19"/>
      <c r="C234" s="20"/>
    </row>
    <row r="235" spans="2:3" x14ac:dyDescent="0.25">
      <c r="B235" s="19"/>
      <c r="C235" s="20"/>
    </row>
    <row r="236" spans="2:3" x14ac:dyDescent="0.25">
      <c r="B236" s="19"/>
      <c r="C236" s="20"/>
    </row>
    <row r="237" spans="2:3" x14ac:dyDescent="0.25">
      <c r="B237" s="19"/>
      <c r="C237" s="20"/>
    </row>
    <row r="238" spans="2:3" x14ac:dyDescent="0.25">
      <c r="B238" s="19"/>
      <c r="C238" s="20"/>
    </row>
    <row r="239" spans="2:3" x14ac:dyDescent="0.25">
      <c r="B239" s="19"/>
      <c r="C239" s="20"/>
    </row>
    <row r="240" spans="2:3" x14ac:dyDescent="0.25">
      <c r="B240" s="19"/>
      <c r="C240" s="20"/>
    </row>
    <row r="241" spans="2:3" x14ac:dyDescent="0.25">
      <c r="B241" s="19"/>
      <c r="C241" s="20"/>
    </row>
    <row r="242" spans="2:3" x14ac:dyDescent="0.25">
      <c r="B242" s="19"/>
      <c r="C242" s="20"/>
    </row>
    <row r="243" spans="2:3" x14ac:dyDescent="0.25">
      <c r="B243" s="19"/>
      <c r="C243" s="20"/>
    </row>
    <row r="244" spans="2:3" x14ac:dyDescent="0.25">
      <c r="B244" s="19"/>
      <c r="C244" s="20"/>
    </row>
    <row r="245" spans="2:3" x14ac:dyDescent="0.25">
      <c r="B245" s="19"/>
      <c r="C245" s="20"/>
    </row>
    <row r="246" spans="2:3" x14ac:dyDescent="0.25">
      <c r="B246" s="19"/>
      <c r="C246" s="20"/>
    </row>
    <row r="247" spans="2:3" x14ac:dyDescent="0.25">
      <c r="B247" s="19"/>
      <c r="C247" s="20"/>
    </row>
    <row r="248" spans="2:3" x14ac:dyDescent="0.25">
      <c r="B248" s="19"/>
      <c r="C248" s="20"/>
    </row>
    <row r="249" spans="2:3" x14ac:dyDescent="0.25">
      <c r="B249" s="19"/>
      <c r="C249" s="20"/>
    </row>
    <row r="250" spans="2:3" x14ac:dyDescent="0.25">
      <c r="B250" s="19"/>
      <c r="C250" s="20"/>
    </row>
    <row r="251" spans="2:3" x14ac:dyDescent="0.25">
      <c r="B251" s="19"/>
      <c r="C251" s="20"/>
    </row>
    <row r="252" spans="2:3" x14ac:dyDescent="0.25">
      <c r="B252" s="19"/>
      <c r="C252" s="20"/>
    </row>
    <row r="253" spans="2:3" x14ac:dyDescent="0.25">
      <c r="B253" s="19"/>
      <c r="C253" s="20"/>
    </row>
    <row r="254" spans="2:3" x14ac:dyDescent="0.25">
      <c r="B254" s="19"/>
      <c r="C254" s="20"/>
    </row>
    <row r="255" spans="2:3" x14ac:dyDescent="0.25">
      <c r="B255" s="19"/>
      <c r="C255" s="20"/>
    </row>
    <row r="256" spans="2:3" x14ac:dyDescent="0.25">
      <c r="B256" s="19"/>
      <c r="C256" s="20"/>
    </row>
    <row r="257" spans="2:3" x14ac:dyDescent="0.25">
      <c r="B257" s="19"/>
      <c r="C257" s="20"/>
    </row>
    <row r="258" spans="2:3" x14ac:dyDescent="0.25">
      <c r="B258" s="19"/>
      <c r="C258" s="20"/>
    </row>
    <row r="259" spans="2:3" x14ac:dyDescent="0.25">
      <c r="B259" s="19"/>
      <c r="C259" s="20"/>
    </row>
    <row r="260" spans="2:3" x14ac:dyDescent="0.25">
      <c r="B260" s="19"/>
      <c r="C260" s="20"/>
    </row>
    <row r="261" spans="2:3" x14ac:dyDescent="0.25">
      <c r="B261" s="19"/>
      <c r="C261" s="20"/>
    </row>
    <row r="262" spans="2:3" x14ac:dyDescent="0.25">
      <c r="B262" s="19"/>
      <c r="C262" s="20"/>
    </row>
    <row r="263" spans="2:3" x14ac:dyDescent="0.25">
      <c r="B263" s="19"/>
      <c r="C263" s="20"/>
    </row>
    <row r="264" spans="2:3" x14ac:dyDescent="0.25">
      <c r="B264" s="19"/>
      <c r="C264" s="20"/>
    </row>
    <row r="265" spans="2:3" x14ac:dyDescent="0.25">
      <c r="B265" s="19"/>
      <c r="C265" s="20"/>
    </row>
    <row r="266" spans="2:3" x14ac:dyDescent="0.25">
      <c r="B266" s="19"/>
      <c r="C266" s="20"/>
    </row>
    <row r="267" spans="2:3" x14ac:dyDescent="0.25">
      <c r="B267" s="19"/>
      <c r="C267" s="20"/>
    </row>
    <row r="268" spans="2:3" x14ac:dyDescent="0.25">
      <c r="B268" s="19"/>
      <c r="C268" s="20"/>
    </row>
    <row r="269" spans="2:3" x14ac:dyDescent="0.25">
      <c r="B269" s="19"/>
      <c r="C269" s="20"/>
    </row>
    <row r="270" spans="2:3" x14ac:dyDescent="0.25">
      <c r="B270" s="19"/>
      <c r="C270" s="20"/>
    </row>
    <row r="271" spans="2:3" x14ac:dyDescent="0.25">
      <c r="B271" s="19"/>
      <c r="C271" s="20"/>
    </row>
    <row r="272" spans="2:3" x14ac:dyDescent="0.25">
      <c r="B272" s="19"/>
      <c r="C272" s="20"/>
    </row>
    <row r="273" spans="2:3" x14ac:dyDescent="0.25">
      <c r="B273" s="19"/>
      <c r="C273" s="20"/>
    </row>
    <row r="274" spans="2:3" x14ac:dyDescent="0.25">
      <c r="B274" s="19"/>
      <c r="C274" s="20"/>
    </row>
    <row r="275" spans="2:3" x14ac:dyDescent="0.25">
      <c r="B275" s="19"/>
      <c r="C275" s="20"/>
    </row>
    <row r="276" spans="2:3" x14ac:dyDescent="0.25">
      <c r="B276" s="19"/>
      <c r="C276" s="20"/>
    </row>
    <row r="277" spans="2:3" x14ac:dyDescent="0.25">
      <c r="B277" s="19"/>
      <c r="C277" s="20"/>
    </row>
    <row r="278" spans="2:3" x14ac:dyDescent="0.25">
      <c r="B278" s="19"/>
      <c r="C278" s="20"/>
    </row>
    <row r="279" spans="2:3" x14ac:dyDescent="0.25">
      <c r="B279" s="19"/>
      <c r="C279" s="20"/>
    </row>
    <row r="280" spans="2:3" x14ac:dyDescent="0.25">
      <c r="B280" s="19"/>
      <c r="C280" s="20"/>
    </row>
    <row r="281" spans="2:3" x14ac:dyDescent="0.25">
      <c r="B281" s="19"/>
      <c r="C281" s="20"/>
    </row>
    <row r="282" spans="2:3" x14ac:dyDescent="0.25">
      <c r="B282" s="19"/>
      <c r="C282" s="20"/>
    </row>
    <row r="283" spans="2:3" x14ac:dyDescent="0.25">
      <c r="B283" s="19"/>
      <c r="C283" s="20"/>
    </row>
    <row r="284" spans="2:3" x14ac:dyDescent="0.25">
      <c r="B284" s="19"/>
      <c r="C284" s="20"/>
    </row>
    <row r="285" spans="2:3" x14ac:dyDescent="0.25">
      <c r="B285" s="19"/>
      <c r="C285" s="20"/>
    </row>
    <row r="286" spans="2:3" x14ac:dyDescent="0.25">
      <c r="B286" s="19"/>
      <c r="C286" s="20"/>
    </row>
    <row r="287" spans="2:3" x14ac:dyDescent="0.25">
      <c r="B287" s="19"/>
      <c r="C287" s="20"/>
    </row>
    <row r="288" spans="2:3" x14ac:dyDescent="0.25">
      <c r="B288" s="19"/>
      <c r="C288" s="20"/>
    </row>
    <row r="289" spans="2:3" x14ac:dyDescent="0.25">
      <c r="B289" s="19"/>
      <c r="C289" s="20"/>
    </row>
    <row r="290" spans="2:3" x14ac:dyDescent="0.25">
      <c r="B290" s="19"/>
      <c r="C290" s="20"/>
    </row>
    <row r="291" spans="2:3" x14ac:dyDescent="0.25">
      <c r="B291" s="19"/>
      <c r="C291" s="20"/>
    </row>
    <row r="292" spans="2:3" x14ac:dyDescent="0.25">
      <c r="B292" s="19"/>
      <c r="C292" s="20"/>
    </row>
    <row r="293" spans="2:3" x14ac:dyDescent="0.25">
      <c r="B293" s="19"/>
      <c r="C293" s="20"/>
    </row>
    <row r="294" spans="2:3" x14ac:dyDescent="0.25">
      <c r="B294" s="19"/>
      <c r="C294" s="20"/>
    </row>
    <row r="295" spans="2:3" x14ac:dyDescent="0.25">
      <c r="B295" s="19"/>
      <c r="C295" s="20"/>
    </row>
    <row r="296" spans="2:3" x14ac:dyDescent="0.25">
      <c r="B296" s="19"/>
      <c r="C296" s="20"/>
    </row>
    <row r="297" spans="2:3" x14ac:dyDescent="0.25">
      <c r="B297" s="19"/>
      <c r="C297" s="20"/>
    </row>
    <row r="298" spans="2:3" x14ac:dyDescent="0.25">
      <c r="B298" s="19"/>
      <c r="C298" s="20"/>
    </row>
    <row r="299" spans="2:3" x14ac:dyDescent="0.25">
      <c r="B299" s="19"/>
      <c r="C299" s="20"/>
    </row>
    <row r="300" spans="2:3" x14ac:dyDescent="0.25">
      <c r="B300" s="19"/>
      <c r="C300" s="20"/>
    </row>
    <row r="301" spans="2:3" x14ac:dyDescent="0.25">
      <c r="B301" s="19"/>
      <c r="C301" s="20"/>
    </row>
    <row r="302" spans="2:3" x14ac:dyDescent="0.25">
      <c r="B302" s="19"/>
      <c r="C302" s="20"/>
    </row>
    <row r="303" spans="2:3" x14ac:dyDescent="0.25">
      <c r="B303" s="19"/>
      <c r="C303" s="20"/>
    </row>
    <row r="304" spans="2:3" x14ac:dyDescent="0.25">
      <c r="B304" s="19"/>
      <c r="C304" s="20"/>
    </row>
    <row r="305" spans="2:3" x14ac:dyDescent="0.25">
      <c r="B305" s="19"/>
      <c r="C305" s="20"/>
    </row>
    <row r="306" spans="2:3" x14ac:dyDescent="0.25">
      <c r="B306" s="19"/>
      <c r="C306" s="20"/>
    </row>
    <row r="307" spans="2:3" x14ac:dyDescent="0.25">
      <c r="B307" s="19"/>
      <c r="C307" s="20"/>
    </row>
    <row r="308" spans="2:3" x14ac:dyDescent="0.25">
      <c r="B308" s="19"/>
      <c r="C308" s="20"/>
    </row>
    <row r="309" spans="2:3" x14ac:dyDescent="0.25">
      <c r="B309" s="19"/>
      <c r="C309" s="20"/>
    </row>
    <row r="310" spans="2:3" x14ac:dyDescent="0.25">
      <c r="B310" s="19"/>
      <c r="C310" s="20"/>
    </row>
    <row r="311" spans="2:3" x14ac:dyDescent="0.25">
      <c r="B311" s="19"/>
      <c r="C311" s="20"/>
    </row>
    <row r="312" spans="2:3" x14ac:dyDescent="0.25">
      <c r="B312" s="19"/>
      <c r="C312" s="20"/>
    </row>
    <row r="313" spans="2:3" x14ac:dyDescent="0.25">
      <c r="B313" s="19"/>
      <c r="C313" s="20"/>
    </row>
    <row r="314" spans="2:3" x14ac:dyDescent="0.25">
      <c r="B314" s="19"/>
      <c r="C314" s="20"/>
    </row>
    <row r="315" spans="2:3" x14ac:dyDescent="0.25">
      <c r="B315" s="19"/>
      <c r="C315" s="20"/>
    </row>
    <row r="316" spans="2:3" x14ac:dyDescent="0.25">
      <c r="B316" s="19"/>
      <c r="C316" s="20"/>
    </row>
    <row r="317" spans="2:3" x14ac:dyDescent="0.25">
      <c r="B317" s="19"/>
      <c r="C317" s="20"/>
    </row>
    <row r="318" spans="2:3" x14ac:dyDescent="0.25">
      <c r="B318" s="19"/>
      <c r="C318" s="20"/>
    </row>
    <row r="319" spans="2:3" x14ac:dyDescent="0.25">
      <c r="B319" s="19"/>
      <c r="C319" s="20"/>
    </row>
    <row r="320" spans="2:3" x14ac:dyDescent="0.25">
      <c r="B320" s="19"/>
      <c r="C320" s="20"/>
    </row>
    <row r="321" spans="2:3" x14ac:dyDescent="0.25">
      <c r="B321" s="19"/>
      <c r="C321" s="20"/>
    </row>
    <row r="322" spans="2:3" x14ac:dyDescent="0.25">
      <c r="B322" s="19"/>
      <c r="C322" s="20"/>
    </row>
    <row r="323" spans="2:3" x14ac:dyDescent="0.25">
      <c r="B323" s="19"/>
      <c r="C323" s="20"/>
    </row>
    <row r="324" spans="2:3" x14ac:dyDescent="0.25">
      <c r="B324" s="19"/>
      <c r="C324" s="20"/>
    </row>
    <row r="325" spans="2:3" x14ac:dyDescent="0.25">
      <c r="B325" s="19"/>
      <c r="C325" s="20"/>
    </row>
    <row r="326" spans="2:3" x14ac:dyDescent="0.25">
      <c r="B326" s="19"/>
      <c r="C326" s="20"/>
    </row>
    <row r="327" spans="2:3" x14ac:dyDescent="0.25">
      <c r="B327" s="19"/>
      <c r="C327" s="20"/>
    </row>
    <row r="328" spans="2:3" x14ac:dyDescent="0.25">
      <c r="B328" s="19"/>
      <c r="C328" s="20"/>
    </row>
    <row r="329" spans="2:3" x14ac:dyDescent="0.25">
      <c r="B329" s="19"/>
      <c r="C329" s="20"/>
    </row>
    <row r="330" spans="2:3" x14ac:dyDescent="0.25">
      <c r="B330" s="19"/>
      <c r="C330" s="20"/>
    </row>
    <row r="331" spans="2:3" x14ac:dyDescent="0.25">
      <c r="B331" s="19"/>
      <c r="C331" s="20"/>
    </row>
    <row r="332" spans="2:3" x14ac:dyDescent="0.25">
      <c r="B332" s="19"/>
      <c r="C332" s="20"/>
    </row>
    <row r="333" spans="2:3" x14ac:dyDescent="0.25">
      <c r="B333" s="19"/>
      <c r="C333" s="20"/>
    </row>
    <row r="334" spans="2:3" x14ac:dyDescent="0.25">
      <c r="B334" s="19"/>
      <c r="C334" s="20"/>
    </row>
    <row r="335" spans="2:3" x14ac:dyDescent="0.25">
      <c r="B335" s="19"/>
      <c r="C335" s="20"/>
    </row>
    <row r="336" spans="2:3" x14ac:dyDescent="0.25">
      <c r="B336" s="19"/>
      <c r="C336" s="20"/>
    </row>
    <row r="337" spans="2:3" x14ac:dyDescent="0.25">
      <c r="B337" s="19"/>
      <c r="C337" s="20"/>
    </row>
    <row r="338" spans="2:3" x14ac:dyDescent="0.25">
      <c r="B338" s="19"/>
      <c r="C338" s="20"/>
    </row>
    <row r="339" spans="2:3" x14ac:dyDescent="0.25">
      <c r="B339" s="19"/>
      <c r="C339" s="20"/>
    </row>
    <row r="340" spans="2:3" x14ac:dyDescent="0.25">
      <c r="B340" s="19"/>
      <c r="C340" s="20"/>
    </row>
    <row r="341" spans="2:3" x14ac:dyDescent="0.25">
      <c r="B341" s="19"/>
      <c r="C341" s="20"/>
    </row>
    <row r="342" spans="2:3" x14ac:dyDescent="0.25">
      <c r="B342" s="19"/>
      <c r="C342" s="20"/>
    </row>
    <row r="343" spans="2:3" x14ac:dyDescent="0.25">
      <c r="B343" s="19"/>
      <c r="C343" s="20"/>
    </row>
    <row r="344" spans="2:3" x14ac:dyDescent="0.25">
      <c r="B344" s="19"/>
      <c r="C344" s="20"/>
    </row>
    <row r="345" spans="2:3" x14ac:dyDescent="0.25">
      <c r="B345" s="19"/>
      <c r="C345" s="20"/>
    </row>
    <row r="346" spans="2:3" x14ac:dyDescent="0.25">
      <c r="B346" s="19"/>
      <c r="C346" s="20"/>
    </row>
    <row r="347" spans="2:3" x14ac:dyDescent="0.25">
      <c r="B347" s="19"/>
      <c r="C347" s="20"/>
    </row>
    <row r="348" spans="2:3" x14ac:dyDescent="0.25">
      <c r="B348" s="19"/>
      <c r="C348" s="20"/>
    </row>
    <row r="349" spans="2:3" x14ac:dyDescent="0.25">
      <c r="B349" s="19"/>
      <c r="C349" s="20"/>
    </row>
    <row r="350" spans="2:3" x14ac:dyDescent="0.25">
      <c r="B350" s="19"/>
      <c r="C350" s="20"/>
    </row>
    <row r="351" spans="2:3" x14ac:dyDescent="0.25">
      <c r="B351" s="19"/>
      <c r="C351" s="20"/>
    </row>
    <row r="352" spans="2:3" x14ac:dyDescent="0.25">
      <c r="B352" s="19"/>
      <c r="C352" s="20"/>
    </row>
    <row r="353" spans="2:3" x14ac:dyDescent="0.25">
      <c r="B353" s="19"/>
      <c r="C353" s="20"/>
    </row>
    <row r="354" spans="2:3" x14ac:dyDescent="0.25">
      <c r="B354" s="19"/>
      <c r="C354" s="20"/>
    </row>
    <row r="355" spans="2:3" x14ac:dyDescent="0.25">
      <c r="B355" s="19"/>
      <c r="C355" s="20"/>
    </row>
    <row r="356" spans="2:3" x14ac:dyDescent="0.25">
      <c r="B356" s="19"/>
      <c r="C356" s="20"/>
    </row>
    <row r="357" spans="2:3" x14ac:dyDescent="0.25">
      <c r="B357" s="19"/>
      <c r="C357" s="20"/>
    </row>
    <row r="358" spans="2:3" x14ac:dyDescent="0.25">
      <c r="B358" s="19"/>
      <c r="C358" s="20"/>
    </row>
    <row r="359" spans="2:3" x14ac:dyDescent="0.25">
      <c r="B359" s="19"/>
      <c r="C359" s="20"/>
    </row>
    <row r="360" spans="2:3" x14ac:dyDescent="0.25">
      <c r="B360" s="19"/>
      <c r="C360" s="20"/>
    </row>
    <row r="361" spans="2:3" x14ac:dyDescent="0.25">
      <c r="B361" s="19"/>
      <c r="C361" s="20"/>
    </row>
    <row r="362" spans="2:3" x14ac:dyDescent="0.25">
      <c r="B362" s="19"/>
      <c r="C362" s="20"/>
    </row>
    <row r="363" spans="2:3" x14ac:dyDescent="0.25">
      <c r="B363" s="19"/>
      <c r="C363" s="20"/>
    </row>
    <row r="364" spans="2:3" x14ac:dyDescent="0.25">
      <c r="B364" s="19"/>
      <c r="C364" s="20"/>
    </row>
    <row r="365" spans="2:3" x14ac:dyDescent="0.25">
      <c r="B365" s="19"/>
      <c r="C365" s="20"/>
    </row>
    <row r="366" spans="2:3" x14ac:dyDescent="0.25">
      <c r="B366" s="19"/>
      <c r="C366" s="20"/>
    </row>
    <row r="367" spans="2:3" x14ac:dyDescent="0.25">
      <c r="B367" s="19"/>
      <c r="C367" s="20"/>
    </row>
    <row r="368" spans="2:3" x14ac:dyDescent="0.25">
      <c r="B368" s="19"/>
      <c r="C368" s="20"/>
    </row>
    <row r="369" spans="2:3" x14ac:dyDescent="0.25">
      <c r="B369" s="19"/>
      <c r="C369" s="20"/>
    </row>
    <row r="370" spans="2:3" x14ac:dyDescent="0.25">
      <c r="B370" s="19"/>
      <c r="C370" s="20"/>
    </row>
    <row r="371" spans="2:3" x14ac:dyDescent="0.25">
      <c r="B371" s="19"/>
      <c r="C371" s="20"/>
    </row>
    <row r="372" spans="2:3" x14ac:dyDescent="0.25">
      <c r="B372" s="19"/>
      <c r="C372" s="20"/>
    </row>
    <row r="373" spans="2:3" x14ac:dyDescent="0.25">
      <c r="B373" s="19"/>
      <c r="C373" s="20"/>
    </row>
    <row r="374" spans="2:3" x14ac:dyDescent="0.25">
      <c r="B374" s="19"/>
      <c r="C374" s="20"/>
    </row>
    <row r="375" spans="2:3" x14ac:dyDescent="0.25">
      <c r="B375" s="19"/>
      <c r="C375" s="20"/>
    </row>
    <row r="376" spans="2:3" x14ac:dyDescent="0.25">
      <c r="B376" s="19"/>
      <c r="C376" s="20"/>
    </row>
    <row r="377" spans="2:3" x14ac:dyDescent="0.25">
      <c r="B377" s="19"/>
      <c r="C377" s="20"/>
    </row>
    <row r="378" spans="2:3" x14ac:dyDescent="0.25">
      <c r="B378" s="19"/>
      <c r="C378" s="20"/>
    </row>
    <row r="379" spans="2:3" x14ac:dyDescent="0.25">
      <c r="B379" s="19"/>
      <c r="C379" s="20"/>
    </row>
    <row r="380" spans="2:3" x14ac:dyDescent="0.25">
      <c r="B380" s="19"/>
      <c r="C380" s="20"/>
    </row>
    <row r="381" spans="2:3" x14ac:dyDescent="0.25">
      <c r="B381" s="19"/>
      <c r="C381" s="20"/>
    </row>
    <row r="382" spans="2:3" x14ac:dyDescent="0.25">
      <c r="B382" s="19"/>
      <c r="C382" s="20"/>
    </row>
    <row r="383" spans="2:3" x14ac:dyDescent="0.25">
      <c r="B383" s="19"/>
      <c r="C383" s="20"/>
    </row>
    <row r="384" spans="2:3" x14ac:dyDescent="0.25">
      <c r="B384" s="19"/>
      <c r="C384" s="20"/>
    </row>
    <row r="385" spans="2:3" x14ac:dyDescent="0.25">
      <c r="B385" s="19"/>
      <c r="C385" s="20"/>
    </row>
    <row r="386" spans="2:3" x14ac:dyDescent="0.25">
      <c r="B386" s="19"/>
      <c r="C386" s="20"/>
    </row>
    <row r="387" spans="2:3" x14ac:dyDescent="0.25">
      <c r="B387" s="19"/>
      <c r="C387" s="20"/>
    </row>
    <row r="388" spans="2:3" x14ac:dyDescent="0.25">
      <c r="B388" s="19"/>
      <c r="C388" s="20"/>
    </row>
    <row r="389" spans="2:3" x14ac:dyDescent="0.25">
      <c r="B389" s="19"/>
      <c r="C389" s="20"/>
    </row>
    <row r="390" spans="2:3" x14ac:dyDescent="0.25">
      <c r="B390" s="19"/>
      <c r="C390" s="20"/>
    </row>
    <row r="391" spans="2:3" x14ac:dyDescent="0.25">
      <c r="B391" s="19"/>
      <c r="C391" s="20"/>
    </row>
    <row r="392" spans="2:3" x14ac:dyDescent="0.25">
      <c r="B392" s="19"/>
      <c r="C392" s="20"/>
    </row>
    <row r="393" spans="2:3" x14ac:dyDescent="0.25">
      <c r="B393" s="19"/>
      <c r="C393" s="20"/>
    </row>
    <row r="394" spans="2:3" x14ac:dyDescent="0.25">
      <c r="B394" s="19"/>
      <c r="C394" s="20"/>
    </row>
    <row r="395" spans="2:3" x14ac:dyDescent="0.25">
      <c r="B395" s="19"/>
      <c r="C395" s="20"/>
    </row>
    <row r="396" spans="2:3" x14ac:dyDescent="0.25">
      <c r="B396" s="19"/>
      <c r="C396" s="20"/>
    </row>
    <row r="397" spans="2:3" x14ac:dyDescent="0.25">
      <c r="B397" s="19"/>
      <c r="C397" s="20"/>
    </row>
    <row r="398" spans="2:3" x14ac:dyDescent="0.25">
      <c r="B398" s="19"/>
      <c r="C398" s="20"/>
    </row>
    <row r="399" spans="2:3" x14ac:dyDescent="0.25">
      <c r="B399" s="19"/>
      <c r="C399" s="20"/>
    </row>
    <row r="400" spans="2:3" x14ac:dyDescent="0.25">
      <c r="B400" s="19"/>
      <c r="C400" s="20"/>
    </row>
    <row r="401" spans="2:3" x14ac:dyDescent="0.25">
      <c r="B401" s="19"/>
      <c r="C401" s="20"/>
    </row>
    <row r="402" spans="2:3" x14ac:dyDescent="0.25">
      <c r="B402" s="19"/>
      <c r="C402" s="20"/>
    </row>
    <row r="403" spans="2:3" x14ac:dyDescent="0.25">
      <c r="B403" s="19"/>
      <c r="C403" s="20"/>
    </row>
    <row r="404" spans="2:3" x14ac:dyDescent="0.25">
      <c r="B404" s="19"/>
      <c r="C404" s="20"/>
    </row>
    <row r="405" spans="2:3" x14ac:dyDescent="0.25">
      <c r="B405" s="19"/>
      <c r="C405" s="20"/>
    </row>
    <row r="406" spans="2:3" x14ac:dyDescent="0.25">
      <c r="B406" s="19"/>
      <c r="C406" s="20"/>
    </row>
    <row r="407" spans="2:3" x14ac:dyDescent="0.25">
      <c r="B407" s="19"/>
      <c r="C407" s="20"/>
    </row>
    <row r="408" spans="2:3" x14ac:dyDescent="0.25">
      <c r="B408" s="19"/>
      <c r="C408" s="20"/>
    </row>
    <row r="409" spans="2:3" x14ac:dyDescent="0.25">
      <c r="B409" s="19"/>
      <c r="C409" s="20"/>
    </row>
    <row r="410" spans="2:3" x14ac:dyDescent="0.25">
      <c r="B410" s="19"/>
      <c r="C410" s="20"/>
    </row>
    <row r="411" spans="2:3" x14ac:dyDescent="0.25">
      <c r="B411" s="19"/>
      <c r="C411" s="20"/>
    </row>
    <row r="412" spans="2:3" x14ac:dyDescent="0.25">
      <c r="B412" s="19"/>
      <c r="C412" s="20"/>
    </row>
    <row r="413" spans="2:3" x14ac:dyDescent="0.25">
      <c r="B413" s="19"/>
      <c r="C413" s="20"/>
    </row>
    <row r="414" spans="2:3" x14ac:dyDescent="0.25">
      <c r="B414" s="19"/>
      <c r="C414" s="20"/>
    </row>
    <row r="415" spans="2:3" x14ac:dyDescent="0.25">
      <c r="B415" s="19"/>
      <c r="C415" s="20"/>
    </row>
    <row r="416" spans="2:3" x14ac:dyDescent="0.25">
      <c r="B416" s="19"/>
      <c r="C416" s="20"/>
    </row>
    <row r="417" spans="2:3" x14ac:dyDescent="0.25">
      <c r="B417" s="19"/>
      <c r="C417" s="20"/>
    </row>
    <row r="418" spans="2:3" x14ac:dyDescent="0.25">
      <c r="B418" s="19"/>
      <c r="C418" s="20"/>
    </row>
    <row r="419" spans="2:3" x14ac:dyDescent="0.25">
      <c r="B419" s="19"/>
      <c r="C419" s="20"/>
    </row>
    <row r="420" spans="2:3" x14ac:dyDescent="0.25">
      <c r="B420" s="19"/>
      <c r="C420" s="20"/>
    </row>
    <row r="421" spans="2:3" x14ac:dyDescent="0.25">
      <c r="B421" s="19"/>
      <c r="C421" s="20"/>
    </row>
    <row r="422" spans="2:3" x14ac:dyDescent="0.25">
      <c r="B422" s="19"/>
      <c r="C422" s="20"/>
    </row>
    <row r="423" spans="2:3" x14ac:dyDescent="0.25">
      <c r="B423" s="19"/>
      <c r="C423" s="20"/>
    </row>
    <row r="424" spans="2:3" x14ac:dyDescent="0.25">
      <c r="B424" s="19"/>
      <c r="C424" s="20"/>
    </row>
    <row r="425" spans="2:3" x14ac:dyDescent="0.25">
      <c r="B425" s="19"/>
      <c r="C425" s="20"/>
    </row>
    <row r="426" spans="2:3" x14ac:dyDescent="0.25">
      <c r="B426" s="19"/>
      <c r="C426" s="20"/>
    </row>
    <row r="427" spans="2:3" x14ac:dyDescent="0.25">
      <c r="B427" s="19"/>
      <c r="C427" s="20"/>
    </row>
    <row r="428" spans="2:3" x14ac:dyDescent="0.25">
      <c r="B428" s="19"/>
      <c r="C428" s="20"/>
    </row>
    <row r="429" spans="2:3" x14ac:dyDescent="0.25">
      <c r="B429" s="19"/>
      <c r="C429" s="20"/>
    </row>
    <row r="430" spans="2:3" x14ac:dyDescent="0.25">
      <c r="B430" s="19"/>
      <c r="C430" s="20"/>
    </row>
    <row r="431" spans="2:3" x14ac:dyDescent="0.25">
      <c r="B431" s="19"/>
      <c r="C431" s="20"/>
    </row>
    <row r="432" spans="2:3" x14ac:dyDescent="0.25">
      <c r="B432" s="19"/>
      <c r="C432" s="20"/>
    </row>
    <row r="433" spans="2:3" x14ac:dyDescent="0.25">
      <c r="B433" s="19"/>
      <c r="C433" s="20"/>
    </row>
    <row r="434" spans="2:3" x14ac:dyDescent="0.25">
      <c r="B434" s="19"/>
      <c r="C434" s="20"/>
    </row>
    <row r="435" spans="2:3" x14ac:dyDescent="0.25">
      <c r="B435" s="19"/>
      <c r="C435" s="20"/>
    </row>
    <row r="436" spans="2:3" x14ac:dyDescent="0.25">
      <c r="B436" s="19"/>
      <c r="C436" s="20"/>
    </row>
    <row r="437" spans="2:3" x14ac:dyDescent="0.25">
      <c r="B437" s="19"/>
      <c r="C437" s="20"/>
    </row>
    <row r="438" spans="2:3" x14ac:dyDescent="0.25">
      <c r="B438" s="19"/>
      <c r="C438" s="20"/>
    </row>
    <row r="439" spans="2:3" x14ac:dyDescent="0.25">
      <c r="B439" s="19"/>
      <c r="C439" s="20"/>
    </row>
    <row r="440" spans="2:3" x14ac:dyDescent="0.25">
      <c r="B440" s="19"/>
      <c r="C440" s="20"/>
    </row>
    <row r="441" spans="2:3" x14ac:dyDescent="0.25">
      <c r="B441" s="19"/>
      <c r="C441" s="20"/>
    </row>
    <row r="442" spans="2:3" x14ac:dyDescent="0.25">
      <c r="B442" s="19"/>
      <c r="C442" s="20"/>
    </row>
    <row r="443" spans="2:3" x14ac:dyDescent="0.25">
      <c r="B443" s="19"/>
      <c r="C443" s="20"/>
    </row>
    <row r="444" spans="2:3" x14ac:dyDescent="0.25">
      <c r="B444" s="19"/>
      <c r="C444" s="20"/>
    </row>
    <row r="445" spans="2:3" x14ac:dyDescent="0.25">
      <c r="B445" s="19"/>
      <c r="C445" s="20"/>
    </row>
    <row r="446" spans="2:3" x14ac:dyDescent="0.25">
      <c r="B446" s="19"/>
      <c r="C446" s="20"/>
    </row>
    <row r="447" spans="2:3" x14ac:dyDescent="0.25">
      <c r="B447" s="19"/>
      <c r="C447" s="20"/>
    </row>
    <row r="448" spans="2:3" x14ac:dyDescent="0.25">
      <c r="B448" s="19"/>
      <c r="C448" s="20"/>
    </row>
    <row r="449" spans="2:3" x14ac:dyDescent="0.25">
      <c r="B449" s="19"/>
      <c r="C449" s="20"/>
    </row>
    <row r="450" spans="2:3" x14ac:dyDescent="0.25">
      <c r="B450" s="19"/>
      <c r="C450" s="20"/>
    </row>
    <row r="451" spans="2:3" x14ac:dyDescent="0.25">
      <c r="B451" s="19"/>
      <c r="C451" s="20"/>
    </row>
    <row r="452" spans="2:3" x14ac:dyDescent="0.25">
      <c r="B452" s="19"/>
      <c r="C452" s="20"/>
    </row>
    <row r="453" spans="2:3" x14ac:dyDescent="0.25">
      <c r="B453" s="19"/>
      <c r="C453" s="20"/>
    </row>
    <row r="454" spans="2:3" x14ac:dyDescent="0.25">
      <c r="B454" s="19"/>
      <c r="C454" s="20"/>
    </row>
    <row r="455" spans="2:3" x14ac:dyDescent="0.25">
      <c r="B455" s="19"/>
      <c r="C455" s="20"/>
    </row>
    <row r="456" spans="2:3" x14ac:dyDescent="0.25">
      <c r="B456" s="19"/>
      <c r="C456" s="20"/>
    </row>
    <row r="457" spans="2:3" x14ac:dyDescent="0.25">
      <c r="B457" s="19"/>
      <c r="C457" s="20"/>
    </row>
    <row r="458" spans="2:3" x14ac:dyDescent="0.25">
      <c r="B458" s="19"/>
      <c r="C458" s="20"/>
    </row>
    <row r="459" spans="2:3" x14ac:dyDescent="0.25">
      <c r="B459" s="19"/>
      <c r="C459" s="20"/>
    </row>
    <row r="460" spans="2:3" x14ac:dyDescent="0.25">
      <c r="B460" s="19"/>
      <c r="C460" s="20"/>
    </row>
    <row r="461" spans="2:3" x14ac:dyDescent="0.25">
      <c r="B461" s="19"/>
      <c r="C461" s="20"/>
    </row>
    <row r="462" spans="2:3" x14ac:dyDescent="0.25">
      <c r="B462" s="19"/>
      <c r="C462" s="20"/>
    </row>
    <row r="463" spans="2:3" x14ac:dyDescent="0.25">
      <c r="B463" s="19"/>
      <c r="C463" s="20"/>
    </row>
    <row r="464" spans="2:3" x14ac:dyDescent="0.25">
      <c r="B464" s="19"/>
      <c r="C464" s="20"/>
    </row>
    <row r="465" spans="2:3" x14ac:dyDescent="0.25">
      <c r="B465" s="19"/>
      <c r="C465" s="20"/>
    </row>
    <row r="466" spans="2:3" x14ac:dyDescent="0.25">
      <c r="B466" s="19"/>
      <c r="C466" s="20"/>
    </row>
    <row r="467" spans="2:3" x14ac:dyDescent="0.25">
      <c r="B467" s="19"/>
      <c r="C467" s="20"/>
    </row>
    <row r="468" spans="2:3" x14ac:dyDescent="0.25">
      <c r="B468" s="19"/>
      <c r="C468" s="20"/>
    </row>
    <row r="469" spans="2:3" x14ac:dyDescent="0.25">
      <c r="B469" s="19"/>
      <c r="C469" s="20"/>
    </row>
    <row r="470" spans="2:3" x14ac:dyDescent="0.25">
      <c r="B470" s="19"/>
      <c r="C470" s="20"/>
    </row>
    <row r="471" spans="2:3" x14ac:dyDescent="0.25">
      <c r="B471" s="19"/>
      <c r="C471" s="20"/>
    </row>
    <row r="472" spans="2:3" x14ac:dyDescent="0.25">
      <c r="B472" s="19"/>
      <c r="C472" s="20"/>
    </row>
    <row r="473" spans="2:3" x14ac:dyDescent="0.25">
      <c r="B473" s="19"/>
      <c r="C473" s="20"/>
    </row>
    <row r="474" spans="2:3" x14ac:dyDescent="0.25">
      <c r="B474" s="19"/>
      <c r="C474" s="20"/>
    </row>
    <row r="475" spans="2:3" x14ac:dyDescent="0.25">
      <c r="B475" s="19"/>
      <c r="C475" s="20"/>
    </row>
    <row r="476" spans="2:3" x14ac:dyDescent="0.25">
      <c r="B476" s="19"/>
      <c r="C476" s="20"/>
    </row>
    <row r="477" spans="2:3" x14ac:dyDescent="0.25">
      <c r="B477" s="19"/>
      <c r="C477" s="20"/>
    </row>
    <row r="478" spans="2:3" x14ac:dyDescent="0.25">
      <c r="B478" s="19"/>
      <c r="C478" s="20"/>
    </row>
    <row r="479" spans="2:3" x14ac:dyDescent="0.25">
      <c r="B479" s="19"/>
      <c r="C479" s="20"/>
    </row>
    <row r="480" spans="2:3" x14ac:dyDescent="0.25">
      <c r="B480" s="19"/>
      <c r="C480" s="20"/>
    </row>
    <row r="481" spans="2:3" x14ac:dyDescent="0.25">
      <c r="B481" s="19"/>
      <c r="C481" s="20"/>
    </row>
    <row r="482" spans="2:3" x14ac:dyDescent="0.25">
      <c r="B482" s="19"/>
      <c r="C482" s="20"/>
    </row>
    <row r="483" spans="2:3" x14ac:dyDescent="0.25">
      <c r="B483" s="19"/>
      <c r="C483" s="20"/>
    </row>
    <row r="484" spans="2:3" x14ac:dyDescent="0.25">
      <c r="B484" s="19"/>
      <c r="C484" s="20"/>
    </row>
    <row r="485" spans="2:3" x14ac:dyDescent="0.25">
      <c r="B485" s="19"/>
      <c r="C485" s="20"/>
    </row>
    <row r="486" spans="2:3" x14ac:dyDescent="0.25">
      <c r="B486" s="19"/>
      <c r="C486" s="20"/>
    </row>
    <row r="487" spans="2:3" x14ac:dyDescent="0.25">
      <c r="B487" s="19"/>
      <c r="C487" s="20"/>
    </row>
    <row r="488" spans="2:3" x14ac:dyDescent="0.25">
      <c r="B488" s="19"/>
      <c r="C488" s="20"/>
    </row>
    <row r="489" spans="2:3" x14ac:dyDescent="0.25">
      <c r="B489" s="19"/>
      <c r="C489" s="20"/>
    </row>
    <row r="490" spans="2:3" x14ac:dyDescent="0.25">
      <c r="B490" s="19"/>
      <c r="C490" s="20"/>
    </row>
    <row r="491" spans="2:3" x14ac:dyDescent="0.25">
      <c r="B491" s="19"/>
      <c r="C491" s="20"/>
    </row>
    <row r="492" spans="2:3" x14ac:dyDescent="0.25">
      <c r="B492" s="19"/>
      <c r="C492" s="20"/>
    </row>
    <row r="493" spans="2:3" x14ac:dyDescent="0.25">
      <c r="B493" s="19"/>
      <c r="C493" s="20"/>
    </row>
    <row r="494" spans="2:3" x14ac:dyDescent="0.25">
      <c r="B494" s="19"/>
      <c r="C494" s="20"/>
    </row>
    <row r="495" spans="2:3" x14ac:dyDescent="0.25">
      <c r="B495" s="19"/>
      <c r="C495" s="20"/>
    </row>
    <row r="496" spans="2:3" x14ac:dyDescent="0.25">
      <c r="B496" s="19"/>
      <c r="C496" s="20"/>
    </row>
    <row r="497" spans="2:3" x14ac:dyDescent="0.25">
      <c r="B497" s="19"/>
      <c r="C497" s="20"/>
    </row>
    <row r="498" spans="2:3" x14ac:dyDescent="0.25">
      <c r="B498" s="19"/>
      <c r="C498" s="20"/>
    </row>
    <row r="499" spans="2:3" x14ac:dyDescent="0.25">
      <c r="B499" s="19"/>
      <c r="C499" s="20"/>
    </row>
    <row r="500" spans="2:3" x14ac:dyDescent="0.25">
      <c r="B500" s="19"/>
      <c r="C500" s="20"/>
    </row>
    <row r="501" spans="2:3" x14ac:dyDescent="0.25">
      <c r="B501" s="19"/>
      <c r="C501" s="20"/>
    </row>
    <row r="502" spans="2:3" x14ac:dyDescent="0.25">
      <c r="B502" s="19"/>
      <c r="C502" s="20"/>
    </row>
    <row r="503" spans="2:3" x14ac:dyDescent="0.25">
      <c r="B503" s="19"/>
      <c r="C503" s="20"/>
    </row>
    <row r="504" spans="2:3" x14ac:dyDescent="0.25">
      <c r="B504" s="19"/>
      <c r="C504" s="20"/>
    </row>
    <row r="505" spans="2:3" x14ac:dyDescent="0.25">
      <c r="B505" s="19"/>
      <c r="C505" s="20"/>
    </row>
    <row r="506" spans="2:3" x14ac:dyDescent="0.25">
      <c r="B506" s="19"/>
      <c r="C506" s="20"/>
    </row>
    <row r="507" spans="2:3" x14ac:dyDescent="0.25">
      <c r="B507" s="19"/>
      <c r="C507" s="20"/>
    </row>
    <row r="508" spans="2:3" x14ac:dyDescent="0.25">
      <c r="B508" s="19"/>
      <c r="C508" s="20"/>
    </row>
    <row r="509" spans="2:3" x14ac:dyDescent="0.25">
      <c r="B509" s="19"/>
      <c r="C509" s="20"/>
    </row>
    <row r="510" spans="2:3" x14ac:dyDescent="0.25">
      <c r="B510" s="19"/>
      <c r="C510" s="20"/>
    </row>
    <row r="511" spans="2:3" x14ac:dyDescent="0.25">
      <c r="B511" s="19"/>
      <c r="C511" s="20"/>
    </row>
    <row r="512" spans="2:3" x14ac:dyDescent="0.25">
      <c r="B512" s="19"/>
      <c r="C512" s="20"/>
    </row>
    <row r="513" spans="2:3" x14ac:dyDescent="0.25">
      <c r="B513" s="19"/>
      <c r="C513" s="20"/>
    </row>
    <row r="514" spans="2:3" x14ac:dyDescent="0.25">
      <c r="B514" s="19"/>
      <c r="C514" s="20"/>
    </row>
    <row r="515" spans="2:3" x14ac:dyDescent="0.25">
      <c r="B515" s="19"/>
      <c r="C515" s="20"/>
    </row>
    <row r="516" spans="2:3" x14ac:dyDescent="0.25">
      <c r="B516" s="19"/>
      <c r="C516" s="20"/>
    </row>
    <row r="517" spans="2:3" x14ac:dyDescent="0.25">
      <c r="B517" s="19"/>
      <c r="C517" s="20"/>
    </row>
    <row r="518" spans="2:3" x14ac:dyDescent="0.25">
      <c r="B518" s="19"/>
      <c r="C518" s="20"/>
    </row>
    <row r="519" spans="2:3" x14ac:dyDescent="0.25">
      <c r="B519" s="19"/>
      <c r="C519" s="20"/>
    </row>
    <row r="520" spans="2:3" x14ac:dyDescent="0.25">
      <c r="B520" s="19"/>
      <c r="C520" s="20"/>
    </row>
    <row r="521" spans="2:3" x14ac:dyDescent="0.25">
      <c r="B521" s="19"/>
      <c r="C521" s="20"/>
    </row>
    <row r="522" spans="2:3" x14ac:dyDescent="0.25">
      <c r="B522" s="19"/>
      <c r="C522" s="20"/>
    </row>
    <row r="523" spans="2:3" x14ac:dyDescent="0.25">
      <c r="B523" s="19"/>
      <c r="C523" s="20"/>
    </row>
    <row r="524" spans="2:3" x14ac:dyDescent="0.25">
      <c r="B524" s="19"/>
      <c r="C524" s="20"/>
    </row>
    <row r="525" spans="2:3" x14ac:dyDescent="0.25">
      <c r="B525" s="19"/>
      <c r="C525" s="20"/>
    </row>
    <row r="526" spans="2:3" x14ac:dyDescent="0.25">
      <c r="B526" s="19"/>
      <c r="C526" s="20"/>
    </row>
    <row r="527" spans="2:3" x14ac:dyDescent="0.25">
      <c r="B527" s="19"/>
      <c r="C527" s="20"/>
    </row>
    <row r="528" spans="2:3" x14ac:dyDescent="0.25">
      <c r="B528" s="19"/>
      <c r="C528" s="20"/>
    </row>
    <row r="529" spans="2:3" x14ac:dyDescent="0.25">
      <c r="B529" s="19"/>
      <c r="C529" s="20"/>
    </row>
    <row r="530" spans="2:3" x14ac:dyDescent="0.25">
      <c r="B530" s="19"/>
      <c r="C530" s="20"/>
    </row>
    <row r="531" spans="2:3" x14ac:dyDescent="0.25">
      <c r="B531" s="19"/>
      <c r="C531" s="20"/>
    </row>
    <row r="532" spans="2:3" x14ac:dyDescent="0.25">
      <c r="B532" s="19"/>
      <c r="C532" s="20"/>
    </row>
    <row r="533" spans="2:3" x14ac:dyDescent="0.25">
      <c r="B533" s="19"/>
      <c r="C533" s="20"/>
    </row>
    <row r="534" spans="2:3" x14ac:dyDescent="0.25">
      <c r="B534" s="19"/>
      <c r="C534" s="20"/>
    </row>
    <row r="535" spans="2:3" x14ac:dyDescent="0.25">
      <c r="B535" s="19"/>
      <c r="C535" s="20"/>
    </row>
    <row r="536" spans="2:3" x14ac:dyDescent="0.25">
      <c r="B536" s="19"/>
      <c r="C536" s="20"/>
    </row>
    <row r="537" spans="2:3" x14ac:dyDescent="0.25">
      <c r="B537" s="19"/>
      <c r="C537" s="20"/>
    </row>
    <row r="538" spans="2:3" x14ac:dyDescent="0.25">
      <c r="B538" s="19"/>
      <c r="C538" s="20"/>
    </row>
    <row r="539" spans="2:3" x14ac:dyDescent="0.25">
      <c r="B539" s="19"/>
      <c r="C539" s="20"/>
    </row>
    <row r="540" spans="2:3" x14ac:dyDescent="0.25">
      <c r="B540" s="19"/>
      <c r="C540" s="20"/>
    </row>
    <row r="541" spans="2:3" x14ac:dyDescent="0.25">
      <c r="B541" s="19"/>
      <c r="C541" s="20"/>
    </row>
    <row r="542" spans="2:3" x14ac:dyDescent="0.25">
      <c r="B542" s="19"/>
      <c r="C542" s="20"/>
    </row>
    <row r="543" spans="2:3" x14ac:dyDescent="0.25">
      <c r="B543" s="19"/>
      <c r="C543" s="20"/>
    </row>
    <row r="544" spans="2:3" x14ac:dyDescent="0.25">
      <c r="B544" s="19"/>
      <c r="C544" s="20"/>
    </row>
    <row r="545" spans="2:3" x14ac:dyDescent="0.25">
      <c r="B545" s="19"/>
      <c r="C545" s="20"/>
    </row>
    <row r="546" spans="2:3" x14ac:dyDescent="0.25">
      <c r="B546" s="19"/>
      <c r="C546" s="20"/>
    </row>
    <row r="547" spans="2:3" x14ac:dyDescent="0.25">
      <c r="B547" s="19"/>
      <c r="C547" s="20"/>
    </row>
    <row r="548" spans="2:3" x14ac:dyDescent="0.25">
      <c r="B548" s="19"/>
      <c r="C548" s="20"/>
    </row>
    <row r="549" spans="2:3" x14ac:dyDescent="0.25">
      <c r="B549" s="19"/>
      <c r="C549" s="20"/>
    </row>
    <row r="550" spans="2:3" x14ac:dyDescent="0.25">
      <c r="B550" s="19"/>
      <c r="C550" s="20"/>
    </row>
    <row r="551" spans="2:3" x14ac:dyDescent="0.25">
      <c r="B551" s="19"/>
      <c r="C551" s="20"/>
    </row>
    <row r="552" spans="2:3" x14ac:dyDescent="0.25">
      <c r="B552" s="19"/>
      <c r="C552" s="20"/>
    </row>
    <row r="553" spans="2:3" x14ac:dyDescent="0.25">
      <c r="B553" s="19"/>
      <c r="C553" s="20"/>
    </row>
    <row r="554" spans="2:3" x14ac:dyDescent="0.25">
      <c r="B554" s="19"/>
      <c r="C554" s="20"/>
    </row>
    <row r="555" spans="2:3" x14ac:dyDescent="0.25">
      <c r="B555" s="19"/>
      <c r="C555" s="20"/>
    </row>
    <row r="556" spans="2:3" x14ac:dyDescent="0.25">
      <c r="B556" s="19"/>
      <c r="C556" s="20"/>
    </row>
    <row r="557" spans="2:3" x14ac:dyDescent="0.25">
      <c r="B557" s="19"/>
      <c r="C557" s="20"/>
    </row>
    <row r="558" spans="2:3" x14ac:dyDescent="0.25">
      <c r="B558" s="19"/>
      <c r="C558" s="20"/>
    </row>
    <row r="559" spans="2:3" x14ac:dyDescent="0.25">
      <c r="B559" s="19"/>
      <c r="C559" s="20"/>
    </row>
    <row r="560" spans="2:3" x14ac:dyDescent="0.25">
      <c r="B560" s="19"/>
      <c r="C560" s="20"/>
    </row>
    <row r="561" spans="2:3" x14ac:dyDescent="0.25">
      <c r="B561" s="19"/>
      <c r="C561" s="20"/>
    </row>
    <row r="562" spans="2:3" x14ac:dyDescent="0.25">
      <c r="B562" s="19"/>
      <c r="C562" s="20"/>
    </row>
    <row r="563" spans="2:3" x14ac:dyDescent="0.25">
      <c r="B563" s="19"/>
      <c r="C563" s="20"/>
    </row>
    <row r="564" spans="2:3" x14ac:dyDescent="0.25">
      <c r="B564" s="19"/>
      <c r="C564" s="20"/>
    </row>
    <row r="565" spans="2:3" x14ac:dyDescent="0.25">
      <c r="B565" s="19"/>
      <c r="C565" s="20"/>
    </row>
    <row r="566" spans="2:3" x14ac:dyDescent="0.25">
      <c r="B566" s="19"/>
      <c r="C566" s="20"/>
    </row>
    <row r="567" spans="2:3" x14ac:dyDescent="0.25">
      <c r="B567" s="19"/>
      <c r="C567" s="20"/>
    </row>
    <row r="568" spans="2:3" x14ac:dyDescent="0.25">
      <c r="B568" s="19"/>
      <c r="C568" s="20"/>
    </row>
    <row r="569" spans="2:3" x14ac:dyDescent="0.25">
      <c r="B569" s="19"/>
      <c r="C569" s="20"/>
    </row>
    <row r="570" spans="2:3" x14ac:dyDescent="0.25">
      <c r="B570" s="19"/>
      <c r="C570" s="20"/>
    </row>
    <row r="571" spans="2:3" x14ac:dyDescent="0.25">
      <c r="B571" s="19"/>
      <c r="C571" s="20"/>
    </row>
    <row r="572" spans="2:3" x14ac:dyDescent="0.25">
      <c r="B572" s="19"/>
      <c r="C572" s="20"/>
    </row>
    <row r="573" spans="2:3" x14ac:dyDescent="0.25">
      <c r="B573" s="19"/>
      <c r="C573" s="20"/>
    </row>
    <row r="574" spans="2:3" x14ac:dyDescent="0.25">
      <c r="B574" s="19"/>
      <c r="C574" s="20"/>
    </row>
    <row r="575" spans="2:3" x14ac:dyDescent="0.25">
      <c r="B575" s="19"/>
      <c r="C575" s="20"/>
    </row>
    <row r="576" spans="2:3" x14ac:dyDescent="0.25">
      <c r="B576" s="19"/>
      <c r="C576" s="20"/>
    </row>
    <row r="577" spans="2:3" x14ac:dyDescent="0.25">
      <c r="B577" s="19"/>
      <c r="C577" s="20"/>
    </row>
    <row r="578" spans="2:3" x14ac:dyDescent="0.25">
      <c r="B578" s="19"/>
      <c r="C578" s="20"/>
    </row>
    <row r="579" spans="2:3" x14ac:dyDescent="0.25">
      <c r="B579" s="19"/>
      <c r="C579" s="20"/>
    </row>
    <row r="580" spans="2:3" x14ac:dyDescent="0.25">
      <c r="B580" s="19"/>
      <c r="C580" s="20"/>
    </row>
    <row r="581" spans="2:3" x14ac:dyDescent="0.25">
      <c r="B581" s="19"/>
      <c r="C581" s="20"/>
    </row>
    <row r="582" spans="2:3" x14ac:dyDescent="0.25">
      <c r="B582" s="19"/>
      <c r="C582" s="20"/>
    </row>
    <row r="583" spans="2:3" x14ac:dyDescent="0.25">
      <c r="B583" s="19"/>
      <c r="C583" s="20"/>
    </row>
    <row r="584" spans="2:3" x14ac:dyDescent="0.25">
      <c r="B584" s="19"/>
      <c r="C584" s="20"/>
    </row>
    <row r="585" spans="2:3" x14ac:dyDescent="0.25">
      <c r="B585" s="19"/>
      <c r="C585" s="20"/>
    </row>
    <row r="586" spans="2:3" x14ac:dyDescent="0.25">
      <c r="B586" s="19"/>
      <c r="C586" s="20"/>
    </row>
    <row r="587" spans="2:3" x14ac:dyDescent="0.25">
      <c r="B587" s="19"/>
      <c r="C587" s="20"/>
    </row>
    <row r="588" spans="2:3" x14ac:dyDescent="0.25">
      <c r="B588" s="19"/>
      <c r="C588" s="20"/>
    </row>
    <row r="589" spans="2:3" x14ac:dyDescent="0.25">
      <c r="B589" s="19"/>
      <c r="C589" s="20"/>
    </row>
    <row r="590" spans="2:3" x14ac:dyDescent="0.25">
      <c r="B590" s="19"/>
      <c r="C590" s="20"/>
    </row>
    <row r="591" spans="2:3" x14ac:dyDescent="0.25">
      <c r="B591" s="19"/>
      <c r="C591" s="20"/>
    </row>
    <row r="592" spans="2:3" x14ac:dyDescent="0.25">
      <c r="B592" s="19"/>
      <c r="C592" s="20"/>
    </row>
    <row r="593" spans="2:3" x14ac:dyDescent="0.25">
      <c r="B593" s="19"/>
      <c r="C593" s="20"/>
    </row>
    <row r="594" spans="2:3" x14ac:dyDescent="0.25">
      <c r="B594" s="19"/>
      <c r="C594" s="20"/>
    </row>
    <row r="595" spans="2:3" x14ac:dyDescent="0.25">
      <c r="B595" s="19"/>
      <c r="C595" s="20"/>
    </row>
    <row r="596" spans="2:3" x14ac:dyDescent="0.25">
      <c r="B596" s="19"/>
      <c r="C596" s="20"/>
    </row>
    <row r="597" spans="2:3" x14ac:dyDescent="0.25">
      <c r="B597" s="19"/>
      <c r="C597" s="20"/>
    </row>
    <row r="598" spans="2:3" x14ac:dyDescent="0.25">
      <c r="B598" s="19"/>
      <c r="C598" s="20"/>
    </row>
    <row r="599" spans="2:3" x14ac:dyDescent="0.25">
      <c r="B599" s="19"/>
      <c r="C599" s="20"/>
    </row>
    <row r="600" spans="2:3" x14ac:dyDescent="0.25">
      <c r="B600" s="19"/>
      <c r="C600" s="20"/>
    </row>
    <row r="601" spans="2:3" x14ac:dyDescent="0.25">
      <c r="B601" s="19"/>
      <c r="C601" s="20"/>
    </row>
    <row r="602" spans="2:3" x14ac:dyDescent="0.25">
      <c r="B602" s="19"/>
      <c r="C602" s="20"/>
    </row>
    <row r="603" spans="2:3" x14ac:dyDescent="0.25">
      <c r="B603" s="19"/>
      <c r="C603" s="20"/>
    </row>
    <row r="604" spans="2:3" x14ac:dyDescent="0.25">
      <c r="B604" s="19"/>
      <c r="C604" s="20"/>
    </row>
    <row r="605" spans="2:3" x14ac:dyDescent="0.25">
      <c r="B605" s="19"/>
      <c r="C605" s="20"/>
    </row>
    <row r="606" spans="2:3" x14ac:dyDescent="0.25">
      <c r="B606" s="19"/>
      <c r="C606" s="20"/>
    </row>
    <row r="607" spans="2:3" x14ac:dyDescent="0.25">
      <c r="B607" s="19"/>
      <c r="C607" s="20"/>
    </row>
    <row r="608" spans="2:3" x14ac:dyDescent="0.25">
      <c r="B608" s="19"/>
      <c r="C608" s="20"/>
    </row>
    <row r="609" spans="2:3" x14ac:dyDescent="0.25">
      <c r="B609" s="19"/>
      <c r="C609" s="20"/>
    </row>
    <row r="610" spans="2:3" x14ac:dyDescent="0.25">
      <c r="B610" s="19"/>
      <c r="C610" s="20"/>
    </row>
    <row r="611" spans="2:3" x14ac:dyDescent="0.25">
      <c r="B611" s="19"/>
      <c r="C611" s="20"/>
    </row>
    <row r="612" spans="2:3" x14ac:dyDescent="0.25">
      <c r="B612" s="19"/>
      <c r="C612" s="20"/>
    </row>
    <row r="613" spans="2:3" x14ac:dyDescent="0.25">
      <c r="B613" s="19"/>
      <c r="C613" s="20"/>
    </row>
    <row r="614" spans="2:3" x14ac:dyDescent="0.25">
      <c r="B614" s="19"/>
      <c r="C614" s="20"/>
    </row>
    <row r="615" spans="2:3" x14ac:dyDescent="0.25">
      <c r="B615" s="19"/>
      <c r="C615" s="20"/>
    </row>
    <row r="616" spans="2:3" x14ac:dyDescent="0.25">
      <c r="B616" s="19"/>
      <c r="C616" s="20"/>
    </row>
    <row r="617" spans="2:3" x14ac:dyDescent="0.25">
      <c r="B617" s="19"/>
      <c r="C617" s="20"/>
    </row>
    <row r="618" spans="2:3" x14ac:dyDescent="0.25">
      <c r="B618" s="19"/>
      <c r="C618" s="20"/>
    </row>
    <row r="619" spans="2:3" x14ac:dyDescent="0.25">
      <c r="B619" s="19"/>
      <c r="C619" s="20"/>
    </row>
    <row r="620" spans="2:3" x14ac:dyDescent="0.25">
      <c r="B620" s="19"/>
      <c r="C620" s="20"/>
    </row>
    <row r="621" spans="2:3" x14ac:dyDescent="0.25">
      <c r="B621" s="19"/>
      <c r="C621" s="20"/>
    </row>
    <row r="622" spans="2:3" x14ac:dyDescent="0.25">
      <c r="B622" s="19"/>
      <c r="C622" s="20"/>
    </row>
    <row r="623" spans="2:3" x14ac:dyDescent="0.25">
      <c r="B623" s="19"/>
      <c r="C623" s="20"/>
    </row>
    <row r="624" spans="2:3" x14ac:dyDescent="0.25">
      <c r="B624" s="19"/>
      <c r="C624" s="20"/>
    </row>
    <row r="625" spans="2:3" x14ac:dyDescent="0.25">
      <c r="B625" s="19"/>
      <c r="C625" s="20"/>
    </row>
    <row r="626" spans="2:3" x14ac:dyDescent="0.25">
      <c r="B626" s="19"/>
      <c r="C626" s="20"/>
    </row>
    <row r="627" spans="2:3" x14ac:dyDescent="0.25">
      <c r="B627" s="19"/>
      <c r="C627" s="20"/>
    </row>
    <row r="628" spans="2:3" x14ac:dyDescent="0.25">
      <c r="B628" s="19"/>
      <c r="C628" s="20"/>
    </row>
    <row r="629" spans="2:3" x14ac:dyDescent="0.25">
      <c r="B629" s="19"/>
      <c r="C629" s="20"/>
    </row>
    <row r="630" spans="2:3" x14ac:dyDescent="0.25">
      <c r="B630" s="19"/>
      <c r="C630" s="20"/>
    </row>
    <row r="631" spans="2:3" x14ac:dyDescent="0.25">
      <c r="B631" s="19"/>
      <c r="C631" s="20"/>
    </row>
    <row r="632" spans="2:3" x14ac:dyDescent="0.25">
      <c r="B632" s="19"/>
      <c r="C632" s="20"/>
    </row>
    <row r="633" spans="2:3" x14ac:dyDescent="0.25">
      <c r="B633" s="19"/>
      <c r="C633" s="20"/>
    </row>
    <row r="634" spans="2:3" x14ac:dyDescent="0.25">
      <c r="B634" s="19"/>
      <c r="C634" s="20"/>
    </row>
    <row r="635" spans="2:3" x14ac:dyDescent="0.25">
      <c r="B635" s="19"/>
      <c r="C635" s="20"/>
    </row>
    <row r="636" spans="2:3" x14ac:dyDescent="0.25">
      <c r="B636" s="19"/>
      <c r="C636" s="20"/>
    </row>
    <row r="637" spans="2:3" x14ac:dyDescent="0.25">
      <c r="B637" s="19"/>
      <c r="C637" s="20"/>
    </row>
    <row r="638" spans="2:3" x14ac:dyDescent="0.25">
      <c r="B638" s="19"/>
      <c r="C638" s="20"/>
    </row>
    <row r="639" spans="2:3" x14ac:dyDescent="0.25">
      <c r="B639" s="19"/>
      <c r="C639" s="20"/>
    </row>
    <row r="640" spans="2:3" x14ac:dyDescent="0.25">
      <c r="B640" s="19"/>
      <c r="C640" s="20"/>
    </row>
    <row r="641" spans="2:3" x14ac:dyDescent="0.25">
      <c r="B641" s="19"/>
      <c r="C641" s="20"/>
    </row>
    <row r="642" spans="2:3" x14ac:dyDescent="0.25">
      <c r="B642" s="19"/>
      <c r="C642" s="20"/>
    </row>
    <row r="643" spans="2:3" x14ac:dyDescent="0.25">
      <c r="B643" s="19"/>
      <c r="C643" s="20"/>
    </row>
    <row r="644" spans="2:3" x14ac:dyDescent="0.25">
      <c r="B644" s="19"/>
      <c r="C644" s="20"/>
    </row>
    <row r="645" spans="2:3" x14ac:dyDescent="0.25">
      <c r="B645" s="19"/>
      <c r="C645" s="20"/>
    </row>
    <row r="646" spans="2:3" x14ac:dyDescent="0.25">
      <c r="B646" s="19"/>
      <c r="C646" s="20"/>
    </row>
    <row r="647" spans="2:3" x14ac:dyDescent="0.25">
      <c r="B647" s="19"/>
      <c r="C647" s="20"/>
    </row>
    <row r="648" spans="2:3" x14ac:dyDescent="0.25">
      <c r="B648" s="19"/>
      <c r="C648" s="20"/>
    </row>
    <row r="649" spans="2:3" x14ac:dyDescent="0.25">
      <c r="B649" s="19"/>
      <c r="C649" s="20"/>
    </row>
    <row r="650" spans="2:3" x14ac:dyDescent="0.25">
      <c r="B650" s="19"/>
      <c r="C650" s="20"/>
    </row>
    <row r="651" spans="2:3" x14ac:dyDescent="0.25">
      <c r="B651" s="19"/>
      <c r="C651" s="20"/>
    </row>
    <row r="652" spans="2:3" x14ac:dyDescent="0.25">
      <c r="B652" s="19"/>
      <c r="C652" s="20"/>
    </row>
    <row r="653" spans="2:3" x14ac:dyDescent="0.25">
      <c r="B653" s="19"/>
      <c r="C653" s="20"/>
    </row>
    <row r="654" spans="2:3" x14ac:dyDescent="0.25">
      <c r="B654" s="19"/>
      <c r="C654" s="20"/>
    </row>
    <row r="655" spans="2:3" x14ac:dyDescent="0.25">
      <c r="B655" s="19"/>
      <c r="C655" s="20"/>
    </row>
    <row r="656" spans="2:3" x14ac:dyDescent="0.25">
      <c r="B656" s="19"/>
      <c r="C656" s="20"/>
    </row>
    <row r="657" spans="2:3" x14ac:dyDescent="0.25">
      <c r="B657" s="19"/>
      <c r="C657" s="20"/>
    </row>
    <row r="658" spans="2:3" x14ac:dyDescent="0.25">
      <c r="B658" s="19"/>
      <c r="C658" s="20"/>
    </row>
    <row r="659" spans="2:3" x14ac:dyDescent="0.25">
      <c r="B659" s="19"/>
      <c r="C659" s="20"/>
    </row>
    <row r="660" spans="2:3" x14ac:dyDescent="0.25">
      <c r="B660" s="19"/>
      <c r="C660" s="20"/>
    </row>
    <row r="661" spans="2:3" x14ac:dyDescent="0.25">
      <c r="B661" s="19"/>
      <c r="C661" s="20"/>
    </row>
    <row r="662" spans="2:3" x14ac:dyDescent="0.25">
      <c r="B662" s="19"/>
      <c r="C662" s="20"/>
    </row>
    <row r="663" spans="2:3" x14ac:dyDescent="0.25">
      <c r="B663" s="19"/>
      <c r="C663" s="20"/>
    </row>
    <row r="664" spans="2:3" x14ac:dyDescent="0.25">
      <c r="B664" s="19"/>
      <c r="C664" s="20"/>
    </row>
    <row r="665" spans="2:3" x14ac:dyDescent="0.25">
      <c r="B665" s="19"/>
      <c r="C665" s="20"/>
    </row>
    <row r="666" spans="2:3" x14ac:dyDescent="0.25">
      <c r="B666" s="19"/>
      <c r="C666" s="20"/>
    </row>
    <row r="667" spans="2:3" x14ac:dyDescent="0.25">
      <c r="B667" s="19"/>
      <c r="C667" s="20"/>
    </row>
    <row r="668" spans="2:3" x14ac:dyDescent="0.25">
      <c r="B668" s="19"/>
      <c r="C668" s="20"/>
    </row>
    <row r="669" spans="2:3" x14ac:dyDescent="0.25">
      <c r="B669" s="19"/>
      <c r="C669" s="20"/>
    </row>
    <row r="670" spans="2:3" x14ac:dyDescent="0.25">
      <c r="B670" s="19"/>
      <c r="C670" s="20"/>
    </row>
    <row r="671" spans="2:3" x14ac:dyDescent="0.25">
      <c r="B671" s="19"/>
      <c r="C671" s="20"/>
    </row>
    <row r="672" spans="2:3" x14ac:dyDescent="0.25">
      <c r="B672" s="19"/>
      <c r="C672" s="20"/>
    </row>
    <row r="673" spans="2:3" x14ac:dyDescent="0.25">
      <c r="B673" s="19"/>
      <c r="C673" s="20"/>
    </row>
    <row r="674" spans="2:3" x14ac:dyDescent="0.25">
      <c r="B674" s="19"/>
      <c r="C674" s="20"/>
    </row>
    <row r="675" spans="2:3" x14ac:dyDescent="0.25">
      <c r="B675" s="19"/>
      <c r="C675" s="20"/>
    </row>
    <row r="676" spans="2:3" x14ac:dyDescent="0.25">
      <c r="B676" s="19"/>
      <c r="C676" s="20"/>
    </row>
    <row r="677" spans="2:3" x14ac:dyDescent="0.25">
      <c r="B677" s="19"/>
      <c r="C677" s="20"/>
    </row>
    <row r="678" spans="2:3" x14ac:dyDescent="0.25">
      <c r="B678" s="19"/>
      <c r="C678" s="20"/>
    </row>
    <row r="679" spans="2:3" x14ac:dyDescent="0.25">
      <c r="B679" s="19"/>
      <c r="C679" s="20"/>
    </row>
    <row r="680" spans="2:3" x14ac:dyDescent="0.25">
      <c r="B680" s="19"/>
      <c r="C680" s="20"/>
    </row>
    <row r="681" spans="2:3" x14ac:dyDescent="0.25">
      <c r="B681" s="19"/>
      <c r="C681" s="20"/>
    </row>
    <row r="682" spans="2:3" x14ac:dyDescent="0.25">
      <c r="B682" s="19"/>
      <c r="C682" s="20"/>
    </row>
    <row r="683" spans="2:3" x14ac:dyDescent="0.25">
      <c r="B683" s="19"/>
      <c r="C683" s="20"/>
    </row>
    <row r="684" spans="2:3" x14ac:dyDescent="0.25">
      <c r="B684" s="19"/>
      <c r="C684" s="20"/>
    </row>
    <row r="685" spans="2:3" x14ac:dyDescent="0.25">
      <c r="B685" s="19"/>
      <c r="C685" s="20"/>
    </row>
    <row r="686" spans="2:3" x14ac:dyDescent="0.25">
      <c r="B686" s="19"/>
      <c r="C686" s="20"/>
    </row>
    <row r="687" spans="2:3" x14ac:dyDescent="0.25">
      <c r="B687" s="19"/>
      <c r="C687" s="20"/>
    </row>
    <row r="688" spans="2:3" x14ac:dyDescent="0.25">
      <c r="B688" s="19"/>
      <c r="C688" s="20"/>
    </row>
    <row r="689" spans="2:3" x14ac:dyDescent="0.25">
      <c r="B689" s="19"/>
      <c r="C689" s="20"/>
    </row>
    <row r="690" spans="2:3" x14ac:dyDescent="0.25">
      <c r="B690" s="19"/>
      <c r="C690" s="20"/>
    </row>
    <row r="691" spans="2:3" x14ac:dyDescent="0.25">
      <c r="B691" s="19"/>
      <c r="C691" s="20"/>
    </row>
    <row r="692" spans="2:3" x14ac:dyDescent="0.25">
      <c r="B692" s="19"/>
      <c r="C692" s="20"/>
    </row>
    <row r="693" spans="2:3" x14ac:dyDescent="0.25">
      <c r="B693" s="19"/>
      <c r="C693" s="20"/>
    </row>
    <row r="694" spans="2:3" x14ac:dyDescent="0.25">
      <c r="B694" s="19"/>
      <c r="C694" s="20"/>
    </row>
    <row r="695" spans="2:3" x14ac:dyDescent="0.25">
      <c r="B695" s="19"/>
      <c r="C695" s="20"/>
    </row>
    <row r="696" spans="2:3" x14ac:dyDescent="0.25">
      <c r="B696" s="19"/>
      <c r="C696" s="20"/>
    </row>
    <row r="697" spans="2:3" x14ac:dyDescent="0.25">
      <c r="B697" s="19"/>
      <c r="C697" s="20"/>
    </row>
    <row r="698" spans="2:3" x14ac:dyDescent="0.25">
      <c r="B698" s="19"/>
      <c r="C698" s="20"/>
    </row>
    <row r="699" spans="2:3" x14ac:dyDescent="0.25">
      <c r="B699" s="19"/>
      <c r="C699" s="20"/>
    </row>
    <row r="700" spans="2:3" x14ac:dyDescent="0.25">
      <c r="B700" s="19"/>
      <c r="C700" s="20"/>
    </row>
    <row r="701" spans="2:3" x14ac:dyDescent="0.25">
      <c r="B701" s="19"/>
      <c r="C701" s="20"/>
    </row>
    <row r="702" spans="2:3" x14ac:dyDescent="0.25">
      <c r="B702" s="19"/>
      <c r="C702" s="20"/>
    </row>
    <row r="703" spans="2:3" x14ac:dyDescent="0.25">
      <c r="B703" s="19"/>
      <c r="C703" s="20"/>
    </row>
    <row r="704" spans="2:3" x14ac:dyDescent="0.25">
      <c r="B704" s="19"/>
      <c r="C704" s="20"/>
    </row>
    <row r="705" spans="2:3" x14ac:dyDescent="0.25">
      <c r="B705" s="19"/>
      <c r="C705" s="20"/>
    </row>
    <row r="706" spans="2:3" x14ac:dyDescent="0.25">
      <c r="B706" s="19"/>
      <c r="C706" s="20"/>
    </row>
    <row r="707" spans="2:3" x14ac:dyDescent="0.25">
      <c r="B707" s="19"/>
      <c r="C707" s="20"/>
    </row>
    <row r="708" spans="2:3" x14ac:dyDescent="0.25">
      <c r="B708" s="19"/>
      <c r="C708" s="20"/>
    </row>
    <row r="709" spans="2:3" x14ac:dyDescent="0.25">
      <c r="B709" s="19"/>
      <c r="C709" s="20"/>
    </row>
    <row r="710" spans="2:3" x14ac:dyDescent="0.25">
      <c r="B710" s="19"/>
      <c r="C710" s="20"/>
    </row>
    <row r="711" spans="2:3" x14ac:dyDescent="0.25">
      <c r="B711" s="19"/>
      <c r="C711" s="20"/>
    </row>
    <row r="712" spans="2:3" x14ac:dyDescent="0.25">
      <c r="B712" s="19"/>
      <c r="C712" s="20"/>
    </row>
    <row r="713" spans="2:3" x14ac:dyDescent="0.25">
      <c r="B713" s="19"/>
      <c r="C713" s="20"/>
    </row>
    <row r="714" spans="2:3" x14ac:dyDescent="0.25">
      <c r="B714" s="19"/>
      <c r="C714" s="20"/>
    </row>
    <row r="715" spans="2:3" x14ac:dyDescent="0.25">
      <c r="B715" s="19"/>
      <c r="C715" s="20"/>
    </row>
    <row r="716" spans="2:3" x14ac:dyDescent="0.25">
      <c r="B716" s="19"/>
      <c r="C716" s="20"/>
    </row>
    <row r="717" spans="2:3" x14ac:dyDescent="0.25">
      <c r="B717" s="19"/>
      <c r="C717" s="20"/>
    </row>
    <row r="718" spans="2:3" x14ac:dyDescent="0.25">
      <c r="B718" s="19"/>
      <c r="C718" s="20"/>
    </row>
    <row r="719" spans="2:3" x14ac:dyDescent="0.25">
      <c r="B719" s="19"/>
      <c r="C719" s="20"/>
    </row>
    <row r="720" spans="2:3" x14ac:dyDescent="0.25">
      <c r="B720" s="19"/>
      <c r="C720" s="20"/>
    </row>
    <row r="721" spans="2:3" x14ac:dyDescent="0.25">
      <c r="B721" s="19"/>
      <c r="C721" s="20"/>
    </row>
    <row r="722" spans="2:3" x14ac:dyDescent="0.25">
      <c r="B722" s="19"/>
      <c r="C722" s="20"/>
    </row>
    <row r="723" spans="2:3" x14ac:dyDescent="0.25">
      <c r="B723" s="19"/>
      <c r="C723" s="20"/>
    </row>
    <row r="724" spans="2:3" x14ac:dyDescent="0.25">
      <c r="B724" s="19"/>
      <c r="C724" s="20"/>
    </row>
    <row r="725" spans="2:3" x14ac:dyDescent="0.25">
      <c r="B725" s="19"/>
      <c r="C725" s="20"/>
    </row>
    <row r="726" spans="2:3" x14ac:dyDescent="0.25">
      <c r="B726" s="19"/>
      <c r="C726" s="20"/>
    </row>
    <row r="727" spans="2:3" x14ac:dyDescent="0.25">
      <c r="B727" s="19"/>
      <c r="C727" s="20"/>
    </row>
    <row r="728" spans="2:3" x14ac:dyDescent="0.25">
      <c r="B728" s="19"/>
      <c r="C728" s="20"/>
    </row>
    <row r="729" spans="2:3" x14ac:dyDescent="0.25">
      <c r="B729" s="19"/>
      <c r="C729" s="20"/>
    </row>
    <row r="730" spans="2:3" x14ac:dyDescent="0.25">
      <c r="B730" s="19"/>
      <c r="C730" s="20"/>
    </row>
    <row r="731" spans="2:3" x14ac:dyDescent="0.25">
      <c r="B731" s="19"/>
      <c r="C731" s="20"/>
    </row>
    <row r="732" spans="2:3" x14ac:dyDescent="0.25">
      <c r="B732" s="19"/>
      <c r="C732" s="20"/>
    </row>
    <row r="733" spans="2:3" x14ac:dyDescent="0.25">
      <c r="B733" s="19"/>
      <c r="C733" s="20"/>
    </row>
    <row r="734" spans="2:3" x14ac:dyDescent="0.25">
      <c r="B734" s="19"/>
      <c r="C734" s="20"/>
    </row>
    <row r="735" spans="2:3" x14ac:dyDescent="0.25">
      <c r="B735" s="19"/>
      <c r="C735" s="20"/>
    </row>
    <row r="736" spans="2:3" x14ac:dyDescent="0.25">
      <c r="B736" s="19"/>
      <c r="C736" s="20"/>
    </row>
    <row r="737" spans="2:3" x14ac:dyDescent="0.25">
      <c r="B737" s="19"/>
      <c r="C737" s="20"/>
    </row>
    <row r="738" spans="2:3" x14ac:dyDescent="0.25">
      <c r="B738" s="19"/>
      <c r="C738" s="20"/>
    </row>
    <row r="739" spans="2:3" x14ac:dyDescent="0.25">
      <c r="B739" s="19"/>
      <c r="C739" s="20"/>
    </row>
    <row r="740" spans="2:3" x14ac:dyDescent="0.25">
      <c r="B740" s="19"/>
      <c r="C740" s="20"/>
    </row>
    <row r="741" spans="2:3" x14ac:dyDescent="0.25">
      <c r="B741" s="19"/>
      <c r="C741" s="20"/>
    </row>
    <row r="742" spans="2:3" x14ac:dyDescent="0.25">
      <c r="B742" s="19"/>
      <c r="C742" s="20"/>
    </row>
    <row r="743" spans="2:3" x14ac:dyDescent="0.25">
      <c r="B743" s="19"/>
      <c r="C743" s="20"/>
    </row>
    <row r="744" spans="2:3" x14ac:dyDescent="0.25">
      <c r="B744" s="19"/>
      <c r="C744" s="20"/>
    </row>
    <row r="745" spans="2:3" x14ac:dyDescent="0.25">
      <c r="B745" s="19"/>
      <c r="C745" s="20"/>
    </row>
    <row r="746" spans="2:3" x14ac:dyDescent="0.25">
      <c r="B746" s="19"/>
      <c r="C746" s="20"/>
    </row>
    <row r="747" spans="2:3" x14ac:dyDescent="0.25">
      <c r="B747" s="19"/>
      <c r="C747" s="20"/>
    </row>
    <row r="748" spans="2:3" x14ac:dyDescent="0.25">
      <c r="B748" s="19"/>
      <c r="C748" s="20"/>
    </row>
    <row r="749" spans="2:3" x14ac:dyDescent="0.25">
      <c r="B749" s="19"/>
      <c r="C749" s="20"/>
    </row>
    <row r="750" spans="2:3" x14ac:dyDescent="0.25">
      <c r="B750" s="19"/>
      <c r="C750" s="20"/>
    </row>
    <row r="751" spans="2:3" x14ac:dyDescent="0.25">
      <c r="B751" s="19"/>
      <c r="C751" s="20"/>
    </row>
    <row r="752" spans="2:3" x14ac:dyDescent="0.25">
      <c r="B752" s="19"/>
      <c r="C752" s="20"/>
    </row>
    <row r="753" spans="2:3" x14ac:dyDescent="0.25">
      <c r="B753" s="19"/>
      <c r="C753" s="20"/>
    </row>
    <row r="754" spans="2:3" x14ac:dyDescent="0.25">
      <c r="B754" s="19"/>
      <c r="C754" s="20"/>
    </row>
    <row r="755" spans="2:3" x14ac:dyDescent="0.25">
      <c r="B755" s="19"/>
      <c r="C755" s="20"/>
    </row>
    <row r="756" spans="2:3" x14ac:dyDescent="0.25">
      <c r="B756" s="19"/>
      <c r="C756" s="20"/>
    </row>
    <row r="757" spans="2:3" x14ac:dyDescent="0.25">
      <c r="B757" s="19"/>
      <c r="C757" s="20"/>
    </row>
    <row r="758" spans="2:3" x14ac:dyDescent="0.25">
      <c r="B758" s="19"/>
      <c r="C758" s="20"/>
    </row>
    <row r="759" spans="2:3" x14ac:dyDescent="0.25">
      <c r="B759" s="19"/>
      <c r="C759" s="20"/>
    </row>
    <row r="760" spans="2:3" x14ac:dyDescent="0.25">
      <c r="B760" s="19"/>
      <c r="C760" s="20"/>
    </row>
    <row r="761" spans="2:3" x14ac:dyDescent="0.25">
      <c r="B761" s="19"/>
      <c r="C761" s="20"/>
    </row>
    <row r="762" spans="2:3" x14ac:dyDescent="0.25">
      <c r="B762" s="19"/>
      <c r="C762" s="20"/>
    </row>
    <row r="763" spans="2:3" x14ac:dyDescent="0.25">
      <c r="B763" s="19"/>
      <c r="C763" s="20"/>
    </row>
    <row r="764" spans="2:3" x14ac:dyDescent="0.25">
      <c r="B764" s="19"/>
      <c r="C764" s="20"/>
    </row>
    <row r="765" spans="2:3" x14ac:dyDescent="0.25">
      <c r="B765" s="19"/>
      <c r="C765" s="20"/>
    </row>
    <row r="766" spans="2:3" x14ac:dyDescent="0.25">
      <c r="B766" s="19"/>
      <c r="C766" s="20"/>
    </row>
    <row r="767" spans="2:3" x14ac:dyDescent="0.25">
      <c r="B767" s="19"/>
      <c r="C767" s="20"/>
    </row>
    <row r="768" spans="2:3" x14ac:dyDescent="0.25">
      <c r="B768" s="19"/>
      <c r="C768" s="20"/>
    </row>
    <row r="769" spans="2:3" x14ac:dyDescent="0.25">
      <c r="B769" s="19"/>
      <c r="C769" s="20"/>
    </row>
    <row r="770" spans="2:3" x14ac:dyDescent="0.25">
      <c r="B770" s="19"/>
      <c r="C770" s="20"/>
    </row>
    <row r="771" spans="2:3" x14ac:dyDescent="0.25">
      <c r="B771" s="19"/>
      <c r="C771" s="20"/>
    </row>
    <row r="772" spans="2:3" x14ac:dyDescent="0.25">
      <c r="B772" s="19"/>
      <c r="C772" s="20"/>
    </row>
    <row r="773" spans="2:3" x14ac:dyDescent="0.25">
      <c r="B773" s="19"/>
      <c r="C773" s="20"/>
    </row>
    <row r="774" spans="2:3" x14ac:dyDescent="0.25">
      <c r="B774" s="19"/>
      <c r="C774" s="20"/>
    </row>
    <row r="775" spans="2:3" x14ac:dyDescent="0.25">
      <c r="B775" s="19"/>
      <c r="C775" s="20"/>
    </row>
    <row r="776" spans="2:3" x14ac:dyDescent="0.25">
      <c r="B776" s="19"/>
      <c r="C776" s="20"/>
    </row>
    <row r="777" spans="2:3" x14ac:dyDescent="0.25">
      <c r="B777" s="19"/>
      <c r="C777" s="20"/>
    </row>
    <row r="778" spans="2:3" x14ac:dyDescent="0.25">
      <c r="B778" s="19"/>
      <c r="C778" s="20"/>
    </row>
    <row r="779" spans="2:3" x14ac:dyDescent="0.25">
      <c r="B779" s="19"/>
      <c r="C779" s="20"/>
    </row>
    <row r="780" spans="2:3" x14ac:dyDescent="0.25">
      <c r="B780" s="19"/>
      <c r="C780" s="20"/>
    </row>
    <row r="781" spans="2:3" x14ac:dyDescent="0.25">
      <c r="B781" s="19"/>
      <c r="C781" s="20"/>
    </row>
    <row r="782" spans="2:3" x14ac:dyDescent="0.25">
      <c r="B782" s="19"/>
      <c r="C782" s="20"/>
    </row>
    <row r="783" spans="2:3" x14ac:dyDescent="0.25">
      <c r="B783" s="19"/>
      <c r="C783" s="20"/>
    </row>
    <row r="784" spans="2:3" x14ac:dyDescent="0.25">
      <c r="B784" s="19"/>
      <c r="C784" s="20"/>
    </row>
    <row r="785" spans="2:3" x14ac:dyDescent="0.25">
      <c r="B785" s="19"/>
      <c r="C785" s="20"/>
    </row>
    <row r="786" spans="2:3" x14ac:dyDescent="0.25">
      <c r="B786" s="19"/>
      <c r="C786" s="20"/>
    </row>
    <row r="787" spans="2:3" x14ac:dyDescent="0.25">
      <c r="B787" s="19"/>
      <c r="C787" s="20"/>
    </row>
    <row r="788" spans="2:3" x14ac:dyDescent="0.25">
      <c r="B788" s="19"/>
      <c r="C788" s="20"/>
    </row>
    <row r="789" spans="2:3" x14ac:dyDescent="0.25">
      <c r="B789" s="19"/>
      <c r="C789" s="20"/>
    </row>
    <row r="790" spans="2:3" x14ac:dyDescent="0.25">
      <c r="B790" s="19"/>
      <c r="C790" s="20"/>
    </row>
    <row r="791" spans="2:3" x14ac:dyDescent="0.25">
      <c r="B791" s="19"/>
      <c r="C791" s="20"/>
    </row>
    <row r="792" spans="2:3" x14ac:dyDescent="0.25">
      <c r="B792" s="19"/>
      <c r="C792" s="20"/>
    </row>
    <row r="793" spans="2:3" x14ac:dyDescent="0.25">
      <c r="B793" s="19"/>
      <c r="C793" s="20"/>
    </row>
    <row r="794" spans="2:3" x14ac:dyDescent="0.25">
      <c r="B794" s="19"/>
      <c r="C794" s="20"/>
    </row>
    <row r="795" spans="2:3" x14ac:dyDescent="0.25">
      <c r="B795" s="19"/>
      <c r="C795" s="20"/>
    </row>
    <row r="796" spans="2:3" x14ac:dyDescent="0.25">
      <c r="B796" s="19"/>
      <c r="C796" s="20"/>
    </row>
    <row r="797" spans="2:3" x14ac:dyDescent="0.25">
      <c r="B797" s="19"/>
      <c r="C797" s="20"/>
    </row>
    <row r="798" spans="2:3" x14ac:dyDescent="0.25">
      <c r="B798" s="19"/>
      <c r="C798" s="20"/>
    </row>
    <row r="799" spans="2:3" x14ac:dyDescent="0.25">
      <c r="B799" s="19"/>
      <c r="C799" s="20"/>
    </row>
    <row r="800" spans="2:3" x14ac:dyDescent="0.25">
      <c r="B800" s="19"/>
      <c r="C800" s="20"/>
    </row>
    <row r="801" spans="2:3" x14ac:dyDescent="0.25">
      <c r="B801" s="19"/>
      <c r="C801" s="20"/>
    </row>
    <row r="802" spans="2:3" x14ac:dyDescent="0.25">
      <c r="B802" s="19"/>
      <c r="C802" s="20"/>
    </row>
    <row r="803" spans="2:3" x14ac:dyDescent="0.25">
      <c r="B803" s="19"/>
      <c r="C803" s="20"/>
    </row>
    <row r="804" spans="2:3" x14ac:dyDescent="0.25">
      <c r="B804" s="19"/>
      <c r="C804" s="20"/>
    </row>
    <row r="805" spans="2:3" x14ac:dyDescent="0.25">
      <c r="B805" s="19"/>
      <c r="C805" s="20"/>
    </row>
    <row r="806" spans="2:3" x14ac:dyDescent="0.25">
      <c r="B806" s="19"/>
      <c r="C806" s="20"/>
    </row>
    <row r="807" spans="2:3" x14ac:dyDescent="0.25">
      <c r="B807" s="19"/>
      <c r="C807" s="20"/>
    </row>
    <row r="808" spans="2:3" x14ac:dyDescent="0.25">
      <c r="B808" s="19"/>
      <c r="C808" s="20"/>
    </row>
    <row r="809" spans="2:3" x14ac:dyDescent="0.25">
      <c r="B809" s="19"/>
      <c r="C809" s="20"/>
    </row>
    <row r="810" spans="2:3" x14ac:dyDescent="0.25">
      <c r="B810" s="19"/>
      <c r="C810" s="20"/>
    </row>
    <row r="811" spans="2:3" x14ac:dyDescent="0.25">
      <c r="B811" s="19"/>
      <c r="C811" s="20"/>
    </row>
    <row r="812" spans="2:3" x14ac:dyDescent="0.25">
      <c r="B812" s="19"/>
      <c r="C812" s="20"/>
    </row>
    <row r="813" spans="2:3" x14ac:dyDescent="0.25">
      <c r="B813" s="19"/>
      <c r="C813" s="20"/>
    </row>
    <row r="814" spans="2:3" x14ac:dyDescent="0.25">
      <c r="B814" s="19"/>
      <c r="C814" s="20"/>
    </row>
    <row r="815" spans="2:3" x14ac:dyDescent="0.25">
      <c r="B815" s="19"/>
      <c r="C815" s="20"/>
    </row>
    <row r="816" spans="2:3" x14ac:dyDescent="0.25">
      <c r="B816" s="19"/>
      <c r="C816" s="20"/>
    </row>
    <row r="817" spans="2:3" x14ac:dyDescent="0.25">
      <c r="B817" s="19"/>
      <c r="C817" s="20"/>
    </row>
    <row r="818" spans="2:3" x14ac:dyDescent="0.25">
      <c r="B818" s="19"/>
      <c r="C818" s="20"/>
    </row>
    <row r="819" spans="2:3" x14ac:dyDescent="0.25">
      <c r="B819" s="19"/>
      <c r="C819" s="20"/>
    </row>
    <row r="820" spans="2:3" x14ac:dyDescent="0.25">
      <c r="B820" s="19"/>
      <c r="C820" s="20"/>
    </row>
    <row r="821" spans="2:3" x14ac:dyDescent="0.25">
      <c r="B821" s="19"/>
      <c r="C821" s="20"/>
    </row>
    <row r="822" spans="2:3" x14ac:dyDescent="0.25">
      <c r="B822" s="19"/>
      <c r="C822" s="20"/>
    </row>
    <row r="823" spans="2:3" x14ac:dyDescent="0.25">
      <c r="B823" s="19"/>
      <c r="C823" s="20"/>
    </row>
    <row r="824" spans="2:3" x14ac:dyDescent="0.25">
      <c r="B824" s="19"/>
      <c r="C824" s="20"/>
    </row>
    <row r="825" spans="2:3" x14ac:dyDescent="0.25">
      <c r="B825" s="19"/>
      <c r="C825" s="20"/>
    </row>
    <row r="826" spans="2:3" x14ac:dyDescent="0.25">
      <c r="B826" s="19"/>
      <c r="C826" s="20"/>
    </row>
    <row r="827" spans="2:3" x14ac:dyDescent="0.25">
      <c r="B827" s="19"/>
      <c r="C827" s="20"/>
    </row>
    <row r="828" spans="2:3" x14ac:dyDescent="0.25">
      <c r="B828" s="19"/>
      <c r="C828" s="20"/>
    </row>
    <row r="829" spans="2:3" x14ac:dyDescent="0.25">
      <c r="B829" s="19"/>
      <c r="C829" s="20"/>
    </row>
    <row r="830" spans="2:3" x14ac:dyDescent="0.25">
      <c r="B830" s="19"/>
      <c r="C830" s="20"/>
    </row>
    <row r="831" spans="2:3" x14ac:dyDescent="0.25">
      <c r="B831" s="19"/>
      <c r="C831" s="20"/>
    </row>
    <row r="832" spans="2:3" x14ac:dyDescent="0.25">
      <c r="B832" s="19"/>
      <c r="C832" s="20"/>
    </row>
    <row r="833" spans="2:3" x14ac:dyDescent="0.25">
      <c r="B833" s="19"/>
      <c r="C833" s="20"/>
    </row>
    <row r="834" spans="2:3" x14ac:dyDescent="0.25">
      <c r="B834" s="19"/>
      <c r="C834" s="20"/>
    </row>
    <row r="835" spans="2:3" x14ac:dyDescent="0.25">
      <c r="B835" s="19"/>
      <c r="C835" s="20"/>
    </row>
    <row r="836" spans="2:3" x14ac:dyDescent="0.25">
      <c r="B836" s="19"/>
      <c r="C836" s="20"/>
    </row>
    <row r="837" spans="2:3" x14ac:dyDescent="0.25">
      <c r="B837" s="19"/>
      <c r="C837" s="20"/>
    </row>
    <row r="838" spans="2:3" x14ac:dyDescent="0.25">
      <c r="B838" s="19"/>
      <c r="C838" s="20"/>
    </row>
    <row r="839" spans="2:3" x14ac:dyDescent="0.25">
      <c r="B839" s="19"/>
      <c r="C839" s="20"/>
    </row>
    <row r="840" spans="2:3" x14ac:dyDescent="0.25">
      <c r="B840" s="19"/>
      <c r="C840" s="20"/>
    </row>
    <row r="841" spans="2:3" x14ac:dyDescent="0.25">
      <c r="B841" s="19"/>
      <c r="C841" s="20"/>
    </row>
    <row r="842" spans="2:3" x14ac:dyDescent="0.25">
      <c r="B842" s="19"/>
      <c r="C842" s="20"/>
    </row>
    <row r="843" spans="2:3" x14ac:dyDescent="0.25">
      <c r="B843" s="19"/>
      <c r="C843" s="20"/>
    </row>
    <row r="844" spans="2:3" x14ac:dyDescent="0.25">
      <c r="B844" s="19"/>
      <c r="C844" s="20"/>
    </row>
    <row r="845" spans="2:3" x14ac:dyDescent="0.25">
      <c r="B845" s="19"/>
      <c r="C845" s="20"/>
    </row>
    <row r="846" spans="2:3" x14ac:dyDescent="0.25">
      <c r="B846" s="19"/>
      <c r="C846" s="20"/>
    </row>
    <row r="847" spans="2:3" x14ac:dyDescent="0.25">
      <c r="B847" s="19"/>
      <c r="C847" s="20"/>
    </row>
    <row r="848" spans="2:3" x14ac:dyDescent="0.25">
      <c r="B848" s="19"/>
      <c r="C848" s="20"/>
    </row>
    <row r="849" spans="2:3" x14ac:dyDescent="0.25">
      <c r="B849" s="19"/>
      <c r="C849" s="20"/>
    </row>
    <row r="850" spans="2:3" x14ac:dyDescent="0.25">
      <c r="B850" s="19"/>
      <c r="C850" s="20"/>
    </row>
    <row r="851" spans="2:3" x14ac:dyDescent="0.25">
      <c r="B851" s="19"/>
      <c r="C851" s="20"/>
    </row>
    <row r="852" spans="2:3" x14ac:dyDescent="0.25">
      <c r="B852" s="19"/>
      <c r="C852" s="20"/>
    </row>
    <row r="853" spans="2:3" x14ac:dyDescent="0.25">
      <c r="B853" s="19"/>
      <c r="C853" s="20"/>
    </row>
    <row r="854" spans="2:3" x14ac:dyDescent="0.25">
      <c r="B854" s="19"/>
      <c r="C854" s="20"/>
    </row>
    <row r="855" spans="2:3" x14ac:dyDescent="0.25">
      <c r="B855" s="19"/>
      <c r="C855" s="20"/>
    </row>
    <row r="856" spans="2:3" x14ac:dyDescent="0.25">
      <c r="B856" s="19"/>
      <c r="C856" s="20"/>
    </row>
    <row r="857" spans="2:3" x14ac:dyDescent="0.25">
      <c r="B857" s="19"/>
      <c r="C857" s="20"/>
    </row>
    <row r="858" spans="2:3" x14ac:dyDescent="0.25">
      <c r="B858" s="19"/>
      <c r="C858" s="20"/>
    </row>
    <row r="859" spans="2:3" x14ac:dyDescent="0.25">
      <c r="B859" s="19"/>
      <c r="C859" s="20"/>
    </row>
    <row r="860" spans="2:3" x14ac:dyDescent="0.25">
      <c r="B860" s="19"/>
      <c r="C860" s="20"/>
    </row>
    <row r="861" spans="2:3" x14ac:dyDescent="0.25">
      <c r="B861" s="19"/>
      <c r="C861" s="20"/>
    </row>
    <row r="862" spans="2:3" x14ac:dyDescent="0.25">
      <c r="B862" s="19"/>
      <c r="C862" s="20"/>
    </row>
    <row r="863" spans="2:3" x14ac:dyDescent="0.25">
      <c r="B863" s="19"/>
      <c r="C863" s="20"/>
    </row>
    <row r="864" spans="2:3" x14ac:dyDescent="0.25">
      <c r="B864" s="19"/>
      <c r="C864" s="20"/>
    </row>
    <row r="865" spans="2:3" x14ac:dyDescent="0.25">
      <c r="B865" s="19"/>
      <c r="C865" s="20"/>
    </row>
    <row r="866" spans="2:3" x14ac:dyDescent="0.25">
      <c r="B866" s="19"/>
      <c r="C866" s="20"/>
    </row>
    <row r="867" spans="2:3" x14ac:dyDescent="0.25">
      <c r="B867" s="19"/>
      <c r="C867" s="20"/>
    </row>
    <row r="868" spans="2:3" x14ac:dyDescent="0.25">
      <c r="B868" s="19"/>
      <c r="C868" s="20"/>
    </row>
    <row r="869" spans="2:3" x14ac:dyDescent="0.25">
      <c r="B869" s="19"/>
      <c r="C869" s="20"/>
    </row>
    <row r="870" spans="2:3" x14ac:dyDescent="0.25">
      <c r="B870" s="19"/>
      <c r="C870" s="20"/>
    </row>
    <row r="871" spans="2:3" x14ac:dyDescent="0.25">
      <c r="B871" s="19"/>
      <c r="C871" s="20"/>
    </row>
    <row r="872" spans="2:3" x14ac:dyDescent="0.25">
      <c r="B872" s="19"/>
      <c r="C872" s="20"/>
    </row>
    <row r="873" spans="2:3" x14ac:dyDescent="0.25">
      <c r="B873" s="19"/>
      <c r="C873" s="20"/>
    </row>
    <row r="874" spans="2:3" x14ac:dyDescent="0.25">
      <c r="B874" s="19"/>
      <c r="C874" s="20"/>
    </row>
    <row r="875" spans="2:3" x14ac:dyDescent="0.25">
      <c r="B875" s="19"/>
      <c r="C875" s="20"/>
    </row>
    <row r="876" spans="2:3" x14ac:dyDescent="0.25">
      <c r="B876" s="19"/>
      <c r="C876" s="20"/>
    </row>
    <row r="877" spans="2:3" x14ac:dyDescent="0.25">
      <c r="B877" s="19"/>
      <c r="C877" s="20"/>
    </row>
    <row r="878" spans="2:3" x14ac:dyDescent="0.25">
      <c r="B878" s="19"/>
      <c r="C878" s="20"/>
    </row>
    <row r="879" spans="2:3" x14ac:dyDescent="0.25">
      <c r="B879" s="19"/>
      <c r="C879" s="20"/>
    </row>
    <row r="880" spans="2:3" x14ac:dyDescent="0.25">
      <c r="B880" s="19"/>
      <c r="C880" s="20"/>
    </row>
    <row r="881" spans="2:3" x14ac:dyDescent="0.25">
      <c r="B881" s="19"/>
      <c r="C881" s="20"/>
    </row>
    <row r="882" spans="2:3" x14ac:dyDescent="0.25">
      <c r="B882" s="19"/>
      <c r="C882" s="20"/>
    </row>
    <row r="883" spans="2:3" x14ac:dyDescent="0.25">
      <c r="B883" s="19"/>
      <c r="C883" s="20"/>
    </row>
    <row r="884" spans="2:3" x14ac:dyDescent="0.25">
      <c r="B884" s="19"/>
      <c r="C884" s="20"/>
    </row>
    <row r="885" spans="2:3" x14ac:dyDescent="0.25">
      <c r="B885" s="19"/>
      <c r="C885" s="20"/>
    </row>
    <row r="886" spans="2:3" x14ac:dyDescent="0.25">
      <c r="B886" s="19"/>
      <c r="C886" s="20"/>
    </row>
    <row r="887" spans="2:3" x14ac:dyDescent="0.25">
      <c r="B887" s="19"/>
      <c r="C887" s="20"/>
    </row>
    <row r="888" spans="2:3" x14ac:dyDescent="0.25">
      <c r="B888" s="19"/>
      <c r="C888" s="20"/>
    </row>
    <row r="889" spans="2:3" x14ac:dyDescent="0.25">
      <c r="B889" s="19"/>
      <c r="C889" s="20"/>
    </row>
    <row r="890" spans="2:3" x14ac:dyDescent="0.25">
      <c r="B890" s="19"/>
      <c r="C890" s="20"/>
    </row>
    <row r="891" spans="2:3" x14ac:dyDescent="0.25">
      <c r="B891" s="19"/>
      <c r="C891" s="20"/>
    </row>
    <row r="892" spans="2:3" x14ac:dyDescent="0.25">
      <c r="B892" s="19"/>
      <c r="C892" s="20"/>
    </row>
    <row r="893" spans="2:3" x14ac:dyDescent="0.25">
      <c r="B893" s="19"/>
      <c r="C893" s="20"/>
    </row>
    <row r="894" spans="2:3" x14ac:dyDescent="0.25">
      <c r="B894" s="19"/>
      <c r="C894" s="20"/>
    </row>
    <row r="895" spans="2:3" x14ac:dyDescent="0.25">
      <c r="B895" s="19"/>
      <c r="C895" s="20"/>
    </row>
    <row r="896" spans="2:3" x14ac:dyDescent="0.25">
      <c r="B896" s="19"/>
      <c r="C896" s="20"/>
    </row>
    <row r="897" spans="2:3" x14ac:dyDescent="0.25">
      <c r="B897" s="19"/>
      <c r="C897" s="20"/>
    </row>
    <row r="898" spans="2:3" x14ac:dyDescent="0.25">
      <c r="B898" s="19"/>
      <c r="C898" s="20"/>
    </row>
    <row r="899" spans="2:3" x14ac:dyDescent="0.25">
      <c r="B899" s="19"/>
      <c r="C899" s="20"/>
    </row>
    <row r="900" spans="2:3" x14ac:dyDescent="0.25">
      <c r="B900" s="19"/>
      <c r="C900" s="20"/>
    </row>
    <row r="901" spans="2:3" x14ac:dyDescent="0.25">
      <c r="B901" s="19"/>
      <c r="C901" s="20"/>
    </row>
    <row r="902" spans="2:3" x14ac:dyDescent="0.25">
      <c r="B902" s="19"/>
      <c r="C902" s="20"/>
    </row>
    <row r="903" spans="2:3" x14ac:dyDescent="0.25">
      <c r="B903" s="19"/>
      <c r="C903" s="20"/>
    </row>
    <row r="904" spans="2:3" x14ac:dyDescent="0.25">
      <c r="B904" s="19"/>
      <c r="C904" s="20"/>
    </row>
    <row r="905" spans="2:3" x14ac:dyDescent="0.25">
      <c r="B905" s="19"/>
      <c r="C905" s="20"/>
    </row>
    <row r="906" spans="2:3" x14ac:dyDescent="0.25">
      <c r="B906" s="19"/>
      <c r="C906" s="20"/>
    </row>
    <row r="907" spans="2:3" x14ac:dyDescent="0.25">
      <c r="B907" s="19"/>
      <c r="C907" s="20"/>
    </row>
    <row r="908" spans="2:3" x14ac:dyDescent="0.25">
      <c r="B908" s="19"/>
      <c r="C908" s="20"/>
    </row>
    <row r="909" spans="2:3" x14ac:dyDescent="0.25">
      <c r="B909" s="19"/>
      <c r="C909" s="20"/>
    </row>
    <row r="910" spans="2:3" x14ac:dyDescent="0.25">
      <c r="B910" s="19"/>
      <c r="C910" s="20"/>
    </row>
    <row r="911" spans="2:3" x14ac:dyDescent="0.25">
      <c r="B911" s="19"/>
      <c r="C911" s="20"/>
    </row>
    <row r="912" spans="2:3" x14ac:dyDescent="0.25">
      <c r="B912" s="19"/>
      <c r="C912" s="20"/>
    </row>
    <row r="913" spans="2:3" x14ac:dyDescent="0.25">
      <c r="B913" s="19"/>
      <c r="C913" s="20"/>
    </row>
    <row r="914" spans="2:3" x14ac:dyDescent="0.25">
      <c r="B914" s="19"/>
      <c r="C914" s="20"/>
    </row>
    <row r="915" spans="2:3" x14ac:dyDescent="0.25">
      <c r="B915" s="19"/>
      <c r="C915" s="20"/>
    </row>
    <row r="916" spans="2:3" x14ac:dyDescent="0.25">
      <c r="B916" s="19"/>
      <c r="C916" s="20"/>
    </row>
    <row r="917" spans="2:3" x14ac:dyDescent="0.25">
      <c r="B917" s="19"/>
      <c r="C917" s="20"/>
    </row>
    <row r="918" spans="2:3" x14ac:dyDescent="0.25">
      <c r="B918" s="19"/>
      <c r="C918" s="20"/>
    </row>
    <row r="919" spans="2:3" x14ac:dyDescent="0.25">
      <c r="B919" s="19"/>
      <c r="C919" s="20"/>
    </row>
    <row r="920" spans="2:3" x14ac:dyDescent="0.25">
      <c r="B920" s="19"/>
      <c r="C920" s="20"/>
    </row>
    <row r="921" spans="2:3" x14ac:dyDescent="0.25">
      <c r="B921" s="19"/>
      <c r="C921" s="20"/>
    </row>
    <row r="922" spans="2:3" x14ac:dyDescent="0.25">
      <c r="B922" s="19"/>
      <c r="C922" s="20"/>
    </row>
    <row r="923" spans="2:3" x14ac:dyDescent="0.25">
      <c r="B923" s="19"/>
      <c r="C923" s="20"/>
    </row>
    <row r="924" spans="2:3" x14ac:dyDescent="0.25">
      <c r="B924" s="19"/>
      <c r="C924" s="20"/>
    </row>
    <row r="925" spans="2:3" x14ac:dyDescent="0.25">
      <c r="B925" s="19"/>
      <c r="C925" s="20"/>
    </row>
    <row r="926" spans="2:3" x14ac:dyDescent="0.25">
      <c r="B926" s="19"/>
      <c r="C926" s="20"/>
    </row>
    <row r="927" spans="2:3" x14ac:dyDescent="0.25">
      <c r="B927" s="19"/>
      <c r="C927" s="20"/>
    </row>
    <row r="928" spans="2:3" x14ac:dyDescent="0.25">
      <c r="B928" s="19"/>
      <c r="C928" s="20"/>
    </row>
    <row r="929" spans="2:3" x14ac:dyDescent="0.25">
      <c r="B929" s="19"/>
      <c r="C929" s="20"/>
    </row>
    <row r="930" spans="2:3" x14ac:dyDescent="0.25">
      <c r="B930" s="19"/>
      <c r="C930" s="20"/>
    </row>
    <row r="931" spans="2:3" x14ac:dyDescent="0.25">
      <c r="B931" s="19"/>
      <c r="C931" s="20"/>
    </row>
    <row r="932" spans="2:3" x14ac:dyDescent="0.25">
      <c r="B932" s="19"/>
      <c r="C932" s="20"/>
    </row>
    <row r="933" spans="2:3" x14ac:dyDescent="0.25">
      <c r="B933" s="19"/>
      <c r="C933" s="20"/>
    </row>
    <row r="934" spans="2:3" x14ac:dyDescent="0.25">
      <c r="B934" s="19"/>
      <c r="C934" s="20"/>
    </row>
    <row r="935" spans="2:3" x14ac:dyDescent="0.25">
      <c r="B935" s="19"/>
      <c r="C935" s="20"/>
    </row>
    <row r="936" spans="2:3" x14ac:dyDescent="0.25">
      <c r="B936" s="19"/>
      <c r="C936" s="20"/>
    </row>
    <row r="937" spans="2:3" x14ac:dyDescent="0.25">
      <c r="B937" s="19"/>
      <c r="C937" s="20"/>
    </row>
    <row r="938" spans="2:3" x14ac:dyDescent="0.25">
      <c r="B938" s="19"/>
      <c r="C938" s="20"/>
    </row>
    <row r="939" spans="2:3" x14ac:dyDescent="0.25">
      <c r="B939" s="19"/>
      <c r="C939" s="20"/>
    </row>
    <row r="940" spans="2:3" x14ac:dyDescent="0.25">
      <c r="B940" s="19"/>
      <c r="C940" s="20"/>
    </row>
    <row r="941" spans="2:3" x14ac:dyDescent="0.25">
      <c r="B941" s="19"/>
      <c r="C941" s="20"/>
    </row>
    <row r="942" spans="2:3" x14ac:dyDescent="0.25">
      <c r="B942" s="19"/>
      <c r="C942" s="20"/>
    </row>
    <row r="943" spans="2:3" x14ac:dyDescent="0.25">
      <c r="B943" s="19"/>
      <c r="C943" s="20"/>
    </row>
    <row r="944" spans="2:3" x14ac:dyDescent="0.25">
      <c r="B944" s="19"/>
      <c r="C944" s="20"/>
    </row>
    <row r="945" spans="2:3" x14ac:dyDescent="0.25">
      <c r="B945" s="19"/>
      <c r="C945" s="20"/>
    </row>
    <row r="946" spans="2:3" x14ac:dyDescent="0.25">
      <c r="B946" s="19"/>
      <c r="C946" s="20"/>
    </row>
    <row r="947" spans="2:3" x14ac:dyDescent="0.25">
      <c r="B947" s="19"/>
      <c r="C947" s="20"/>
    </row>
    <row r="948" spans="2:3" x14ac:dyDescent="0.25">
      <c r="B948" s="19"/>
      <c r="C948" s="20"/>
    </row>
    <row r="949" spans="2:3" x14ac:dyDescent="0.25">
      <c r="B949" s="19"/>
      <c r="C949" s="20"/>
    </row>
    <row r="950" spans="2:3" x14ac:dyDescent="0.25">
      <c r="B950" s="19"/>
      <c r="C950" s="20"/>
    </row>
    <row r="951" spans="2:3" x14ac:dyDescent="0.25">
      <c r="B951" s="19"/>
      <c r="C951" s="20"/>
    </row>
    <row r="952" spans="2:3" x14ac:dyDescent="0.25">
      <c r="B952" s="19"/>
      <c r="C952" s="20"/>
    </row>
    <row r="953" spans="2:3" x14ac:dyDescent="0.25">
      <c r="B953" s="19"/>
      <c r="C953" s="20"/>
    </row>
    <row r="954" spans="2:3" x14ac:dyDescent="0.25">
      <c r="B954" s="19"/>
      <c r="C954" s="20"/>
    </row>
    <row r="955" spans="2:3" x14ac:dyDescent="0.25">
      <c r="B955" s="19"/>
      <c r="C955" s="20"/>
    </row>
    <row r="956" spans="2:3" x14ac:dyDescent="0.25">
      <c r="B956" s="19"/>
      <c r="C956" s="20"/>
    </row>
    <row r="957" spans="2:3" x14ac:dyDescent="0.25">
      <c r="B957" s="19"/>
      <c r="C957" s="20"/>
    </row>
    <row r="958" spans="2:3" x14ac:dyDescent="0.25">
      <c r="B958" s="19"/>
      <c r="C958" s="20"/>
    </row>
    <row r="959" spans="2:3" x14ac:dyDescent="0.25">
      <c r="B959" s="19"/>
      <c r="C959" s="20"/>
    </row>
    <row r="960" spans="2:3" x14ac:dyDescent="0.25">
      <c r="B960" s="19"/>
      <c r="C960" s="20"/>
    </row>
    <row r="961" spans="2:3" x14ac:dyDescent="0.25">
      <c r="B961" s="19"/>
      <c r="C961" s="20"/>
    </row>
    <row r="962" spans="2:3" x14ac:dyDescent="0.25">
      <c r="B962" s="19"/>
      <c r="C962" s="20"/>
    </row>
    <row r="963" spans="2:3" x14ac:dyDescent="0.25">
      <c r="B963" s="19"/>
      <c r="C963" s="20"/>
    </row>
    <row r="964" spans="2:3" x14ac:dyDescent="0.25">
      <c r="B964" s="19"/>
      <c r="C964" s="20"/>
    </row>
    <row r="965" spans="2:3" x14ac:dyDescent="0.25">
      <c r="B965" s="19"/>
      <c r="C965" s="20"/>
    </row>
    <row r="966" spans="2:3" x14ac:dyDescent="0.25">
      <c r="B966" s="19"/>
      <c r="C966" s="20"/>
    </row>
    <row r="967" spans="2:3" x14ac:dyDescent="0.25">
      <c r="B967" s="19"/>
      <c r="C967" s="20"/>
    </row>
    <row r="968" spans="2:3" x14ac:dyDescent="0.25">
      <c r="B968" s="19"/>
      <c r="C968" s="20"/>
    </row>
    <row r="969" spans="2:3" x14ac:dyDescent="0.25">
      <c r="B969" s="19"/>
      <c r="C969" s="20"/>
    </row>
    <row r="970" spans="2:3" x14ac:dyDescent="0.25">
      <c r="B970" s="19"/>
      <c r="C970" s="20"/>
    </row>
    <row r="971" spans="2:3" x14ac:dyDescent="0.25">
      <c r="B971" s="19"/>
      <c r="C971" s="20"/>
    </row>
    <row r="972" spans="2:3" x14ac:dyDescent="0.25">
      <c r="B972" s="19"/>
      <c r="C972" s="20"/>
    </row>
    <row r="973" spans="2:3" x14ac:dyDescent="0.25">
      <c r="B973" s="19"/>
      <c r="C973" s="20"/>
    </row>
    <row r="974" spans="2:3" x14ac:dyDescent="0.25">
      <c r="B974" s="19"/>
      <c r="C974" s="20"/>
    </row>
    <row r="975" spans="2:3" x14ac:dyDescent="0.25">
      <c r="B975" s="19"/>
      <c r="C975" s="20"/>
    </row>
    <row r="976" spans="2:3" x14ac:dyDescent="0.25">
      <c r="B976" s="19"/>
      <c r="C976" s="20"/>
    </row>
    <row r="977" spans="2:3" x14ac:dyDescent="0.25">
      <c r="B977" s="19"/>
      <c r="C977" s="20"/>
    </row>
    <row r="978" spans="2:3" x14ac:dyDescent="0.25">
      <c r="B978" s="19"/>
      <c r="C978" s="20"/>
    </row>
    <row r="979" spans="2:3" x14ac:dyDescent="0.25">
      <c r="B979" s="19"/>
      <c r="C979" s="20"/>
    </row>
    <row r="980" spans="2:3" x14ac:dyDescent="0.25">
      <c r="B980" s="19"/>
      <c r="C980" s="20"/>
    </row>
    <row r="981" spans="2:3" x14ac:dyDescent="0.25">
      <c r="B981" s="19"/>
      <c r="C981" s="20"/>
    </row>
    <row r="982" spans="2:3" x14ac:dyDescent="0.25">
      <c r="B982" s="19"/>
      <c r="C982" s="20"/>
    </row>
    <row r="983" spans="2:3" x14ac:dyDescent="0.25">
      <c r="B983" s="19"/>
      <c r="C983" s="20"/>
    </row>
    <row r="984" spans="2:3" x14ac:dyDescent="0.25">
      <c r="B984" s="19"/>
      <c r="C984" s="20"/>
    </row>
    <row r="985" spans="2:3" x14ac:dyDescent="0.25">
      <c r="B985" s="19"/>
      <c r="C985" s="20"/>
    </row>
    <row r="986" spans="2:3" x14ac:dyDescent="0.25">
      <c r="B986" s="19"/>
      <c r="C986" s="20"/>
    </row>
    <row r="987" spans="2:3" x14ac:dyDescent="0.25">
      <c r="B987" s="19"/>
      <c r="C987" s="20"/>
    </row>
    <row r="988" spans="2:3" x14ac:dyDescent="0.25">
      <c r="B988" s="19"/>
      <c r="C988" s="20"/>
    </row>
    <row r="989" spans="2:3" x14ac:dyDescent="0.25">
      <c r="B989" s="19"/>
      <c r="C989" s="20"/>
    </row>
    <row r="990" spans="2:3" x14ac:dyDescent="0.25">
      <c r="B990" s="19"/>
      <c r="C990" s="20"/>
    </row>
    <row r="991" spans="2:3" x14ac:dyDescent="0.25">
      <c r="B991" s="19"/>
      <c r="C991" s="20"/>
    </row>
    <row r="992" spans="2:3" x14ac:dyDescent="0.25">
      <c r="B992" s="19"/>
      <c r="C992" s="20"/>
    </row>
    <row r="993" spans="2:3" x14ac:dyDescent="0.25">
      <c r="B993" s="19"/>
      <c r="C993" s="20"/>
    </row>
    <row r="994" spans="2:3" x14ac:dyDescent="0.25">
      <c r="B994" s="19"/>
      <c r="C994" s="20"/>
    </row>
    <row r="995" spans="2:3" x14ac:dyDescent="0.25">
      <c r="B995" s="19"/>
      <c r="C995" s="20"/>
    </row>
    <row r="996" spans="2:3" x14ac:dyDescent="0.25">
      <c r="B996" s="19"/>
      <c r="C996" s="20"/>
    </row>
    <row r="997" spans="2:3" x14ac:dyDescent="0.25">
      <c r="B997" s="19"/>
      <c r="C997" s="20"/>
    </row>
    <row r="998" spans="2:3" x14ac:dyDescent="0.25">
      <c r="B998" s="19"/>
      <c r="C998" s="20"/>
    </row>
    <row r="999" spans="2:3" x14ac:dyDescent="0.25">
      <c r="B999" s="19"/>
      <c r="C999" s="20"/>
    </row>
    <row r="1000" spans="2:3" x14ac:dyDescent="0.25">
      <c r="B1000" s="19"/>
      <c r="C1000" s="20"/>
    </row>
  </sheetData>
  <mergeCells count="1">
    <mergeCell ref="B4:J4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listas!$F$2:$F$3</xm:f>
          </x14:formula1>
          <xm:sqref>H9:H14</xm:sqref>
        </x14:dataValidation>
        <x14:dataValidation type="list" allowBlank="1" showInputMessage="1" showErrorMessage="1" xr:uid="{00000000-0002-0000-0700-000001000000}">
          <x14:formula1>
            <xm:f>listas!$E$2:$E$6</xm:f>
          </x14:formula1>
          <xm:sqref>I9:I14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/>
  <dimension ref="B1:J71"/>
  <sheetViews>
    <sheetView showGridLines="0" topLeftCell="B1" workbookViewId="0">
      <selection activeCell="B4" sqref="B4:C4"/>
    </sheetView>
  </sheetViews>
  <sheetFormatPr baseColWidth="10" defaultColWidth="11" defaultRowHeight="15.75" x14ac:dyDescent="0.25"/>
  <cols>
    <col min="1" max="1" width="5.875" style="1" customWidth="1"/>
    <col min="2" max="2" width="43.875" style="1" bestFit="1" customWidth="1"/>
    <col min="3" max="3" width="17.125" style="1" customWidth="1"/>
    <col min="4" max="4" width="17" style="1" customWidth="1"/>
    <col min="5" max="5" width="14.5" style="1" customWidth="1"/>
    <col min="6" max="6" width="20" style="1" customWidth="1"/>
    <col min="7" max="7" width="25.125" style="1" customWidth="1"/>
    <col min="8" max="16384" width="11" style="1"/>
  </cols>
  <sheetData>
    <row r="1" spans="2:10" ht="16.5" thickBot="1" x14ac:dyDescent="0.3"/>
    <row r="2" spans="2:10" ht="19.5" x14ac:dyDescent="0.25">
      <c r="B2" s="173" t="s">
        <v>88</v>
      </c>
      <c r="C2" s="174"/>
      <c r="D2" s="174"/>
      <c r="E2" s="34"/>
      <c r="F2" s="34"/>
      <c r="G2" s="34"/>
      <c r="H2" s="34"/>
      <c r="I2" s="34"/>
      <c r="J2" s="34"/>
    </row>
    <row r="3" spans="2:10" x14ac:dyDescent="0.25">
      <c r="B3" s="172"/>
      <c r="C3" s="172"/>
      <c r="D3" s="172"/>
      <c r="E3" s="172"/>
      <c r="F3" s="172"/>
      <c r="G3" s="172"/>
      <c r="H3" s="172"/>
      <c r="I3" s="172"/>
      <c r="J3" s="172"/>
    </row>
    <row r="4" spans="2:10" ht="18.75" x14ac:dyDescent="0.25">
      <c r="B4" s="176" t="s">
        <v>89</v>
      </c>
      <c r="C4" s="176"/>
      <c r="D4" s="21"/>
      <c r="E4" s="21"/>
      <c r="F4" s="21"/>
      <c r="G4" s="21"/>
      <c r="H4" s="21"/>
      <c r="I4" s="21"/>
      <c r="J4" s="21"/>
    </row>
    <row r="5" spans="2:10" x14ac:dyDescent="0.25">
      <c r="E5" s="21"/>
      <c r="F5" s="21"/>
      <c r="G5" s="21"/>
      <c r="H5" s="21"/>
      <c r="I5" s="21"/>
      <c r="J5" s="21"/>
    </row>
    <row r="6" spans="2:10" x14ac:dyDescent="0.25">
      <c r="B6" s="57" t="s">
        <v>90</v>
      </c>
      <c r="C6" s="57" t="s">
        <v>91</v>
      </c>
      <c r="D6" s="57" t="s">
        <v>92</v>
      </c>
      <c r="E6" s="21"/>
      <c r="F6" s="21"/>
      <c r="G6" s="21"/>
      <c r="H6" s="21"/>
      <c r="I6" s="21"/>
      <c r="J6" s="21"/>
    </row>
    <row r="7" spans="2:10" x14ac:dyDescent="0.25">
      <c r="B7" s="36" t="e">
        <f>#REF!</f>
        <v>#REF!</v>
      </c>
      <c r="C7" s="39"/>
      <c r="D7" s="39" t="s">
        <v>93</v>
      </c>
      <c r="E7" s="21"/>
      <c r="F7" s="21"/>
      <c r="G7" s="21"/>
      <c r="H7" s="21"/>
      <c r="I7" s="21"/>
      <c r="J7" s="21"/>
    </row>
    <row r="9" spans="2:10" x14ac:dyDescent="0.25">
      <c r="B9" s="178" t="s">
        <v>94</v>
      </c>
      <c r="C9" s="58" t="s">
        <v>95</v>
      </c>
      <c r="D9" s="58" t="s">
        <v>53</v>
      </c>
    </row>
    <row r="10" spans="2:10" x14ac:dyDescent="0.25">
      <c r="B10" s="178"/>
      <c r="C10" s="39" t="s">
        <v>93</v>
      </c>
      <c r="D10" s="40"/>
      <c r="E10" s="38"/>
    </row>
    <row r="11" spans="2:10" x14ac:dyDescent="0.25">
      <c r="B11" s="22"/>
      <c r="C11" s="2"/>
      <c r="D11" s="38"/>
      <c r="E11" s="38"/>
    </row>
    <row r="12" spans="2:10" ht="18.75" x14ac:dyDescent="0.25">
      <c r="B12" s="177" t="s">
        <v>96</v>
      </c>
      <c r="C12" s="176"/>
      <c r="D12" s="38"/>
      <c r="E12" s="38"/>
    </row>
    <row r="13" spans="2:10" x14ac:dyDescent="0.25">
      <c r="B13" s="22"/>
      <c r="C13" s="2"/>
      <c r="D13" s="38"/>
      <c r="E13" s="38"/>
    </row>
    <row r="14" spans="2:10" x14ac:dyDescent="0.25">
      <c r="B14" s="22"/>
      <c r="C14" s="2"/>
      <c r="D14" s="38"/>
      <c r="E14" s="38"/>
    </row>
    <row r="15" spans="2:10" x14ac:dyDescent="0.25">
      <c r="B15" s="59" t="s">
        <v>97</v>
      </c>
      <c r="C15" s="157">
        <v>45056</v>
      </c>
      <c r="D15" s="45"/>
      <c r="E15" s="38"/>
    </row>
    <row r="16" spans="2:10" x14ac:dyDescent="0.25">
      <c r="B16" s="59" t="s">
        <v>98</v>
      </c>
      <c r="C16" s="157">
        <v>43967</v>
      </c>
      <c r="D16" s="45"/>
      <c r="E16" s="38"/>
    </row>
    <row r="17" spans="2:7" x14ac:dyDescent="0.25">
      <c r="B17" s="59" t="s">
        <v>99</v>
      </c>
      <c r="C17" s="79">
        <f>C34</f>
        <v>1</v>
      </c>
      <c r="D17" s="46"/>
      <c r="E17" s="38"/>
    </row>
    <row r="18" spans="2:7" x14ac:dyDescent="0.25">
      <c r="B18" s="59" t="s">
        <v>100</v>
      </c>
      <c r="C18" s="79">
        <f>C29</f>
        <v>2</v>
      </c>
      <c r="D18" s="46"/>
      <c r="E18" s="38"/>
    </row>
    <row r="19" spans="2:7" x14ac:dyDescent="0.25">
      <c r="B19" s="59" t="s">
        <v>101</v>
      </c>
      <c r="C19" s="79">
        <f>C33</f>
        <v>1</v>
      </c>
      <c r="D19" s="46"/>
      <c r="E19" s="38"/>
    </row>
    <row r="20" spans="2:7" x14ac:dyDescent="0.25">
      <c r="B20" s="59" t="s">
        <v>102</v>
      </c>
      <c r="C20" s="48">
        <v>30</v>
      </c>
      <c r="D20" s="46"/>
      <c r="E20" s="38"/>
    </row>
    <row r="21" spans="2:7" x14ac:dyDescent="0.25">
      <c r="B21" s="59" t="s">
        <v>103</v>
      </c>
      <c r="C21" s="79">
        <f>SUM(C28+C30+C31+C32+C35)</f>
        <v>4</v>
      </c>
      <c r="D21" s="46"/>
      <c r="E21" s="38"/>
    </row>
    <row r="22" spans="2:7" x14ac:dyDescent="0.25">
      <c r="B22" s="60" t="s">
        <v>104</v>
      </c>
      <c r="C22" s="80">
        <f>SUM(C17:C21)</f>
        <v>38</v>
      </c>
      <c r="D22" s="61"/>
      <c r="E22" s="61"/>
    </row>
    <row r="24" spans="2:7" x14ac:dyDescent="0.25">
      <c r="B24" s="62" t="s">
        <v>105</v>
      </c>
      <c r="C24" s="43" t="e">
        <f>#REF!</f>
        <v>#REF!</v>
      </c>
    </row>
    <row r="25" spans="2:7" x14ac:dyDescent="0.25">
      <c r="B25" s="62" t="s">
        <v>106</v>
      </c>
      <c r="C25" s="44" t="e">
        <f>C22-C24</f>
        <v>#REF!</v>
      </c>
    </row>
    <row r="27" spans="2:7" x14ac:dyDescent="0.25">
      <c r="B27" s="63" t="s">
        <v>107</v>
      </c>
      <c r="C27" s="63" t="s">
        <v>108</v>
      </c>
      <c r="D27" s="63" t="s">
        <v>109</v>
      </c>
      <c r="E27" s="171" t="s">
        <v>110</v>
      </c>
      <c r="F27" s="171"/>
      <c r="G27" s="171"/>
    </row>
    <row r="28" spans="2:7" ht="31.5" x14ac:dyDescent="0.25">
      <c r="B28" s="64" t="s">
        <v>111</v>
      </c>
      <c r="C28" s="42">
        <v>4</v>
      </c>
      <c r="D28" s="47" t="s">
        <v>112</v>
      </c>
      <c r="E28" s="175" t="s">
        <v>113</v>
      </c>
      <c r="F28" s="175"/>
      <c r="G28" s="175"/>
    </row>
    <row r="29" spans="2:7" x14ac:dyDescent="0.25">
      <c r="B29" s="64" t="s">
        <v>114</v>
      </c>
      <c r="C29" s="42">
        <v>2</v>
      </c>
      <c r="D29" s="47">
        <v>45058</v>
      </c>
      <c r="E29" s="170" t="s">
        <v>115</v>
      </c>
      <c r="F29" s="170"/>
      <c r="G29" s="170"/>
    </row>
    <row r="30" spans="2:7" ht="33" customHeight="1" x14ac:dyDescent="0.25">
      <c r="B30" s="64" t="s">
        <v>116</v>
      </c>
      <c r="C30" s="42"/>
      <c r="D30" s="47"/>
      <c r="E30" s="170"/>
      <c r="F30" s="170"/>
      <c r="G30" s="170"/>
    </row>
    <row r="31" spans="2:7" ht="31.5" x14ac:dyDescent="0.25">
      <c r="B31" s="64" t="s">
        <v>117</v>
      </c>
      <c r="C31" s="42"/>
      <c r="D31" s="47"/>
      <c r="E31" s="170"/>
      <c r="F31" s="170"/>
      <c r="G31" s="170"/>
    </row>
    <row r="32" spans="2:7" ht="35.25" customHeight="1" x14ac:dyDescent="0.25">
      <c r="B32" s="64" t="s">
        <v>118</v>
      </c>
      <c r="C32" s="42"/>
      <c r="D32" s="47"/>
      <c r="E32" s="170"/>
      <c r="F32" s="170"/>
      <c r="G32" s="170"/>
    </row>
    <row r="33" spans="2:7" ht="39" customHeight="1" x14ac:dyDescent="0.25">
      <c r="B33" s="64" t="s">
        <v>119</v>
      </c>
      <c r="C33" s="42">
        <v>1</v>
      </c>
      <c r="D33" s="47">
        <v>45059</v>
      </c>
      <c r="E33" s="170" t="s">
        <v>120</v>
      </c>
      <c r="F33" s="170"/>
      <c r="G33" s="170"/>
    </row>
    <row r="34" spans="2:7" ht="35.25" customHeight="1" x14ac:dyDescent="0.25">
      <c r="B34" s="64" t="s">
        <v>121</v>
      </c>
      <c r="C34" s="42">
        <v>1</v>
      </c>
      <c r="D34" s="47">
        <v>45055</v>
      </c>
      <c r="E34" s="170" t="s">
        <v>122</v>
      </c>
      <c r="F34" s="170"/>
      <c r="G34" s="170"/>
    </row>
    <row r="35" spans="2:7" ht="29.25" customHeight="1" x14ac:dyDescent="0.25">
      <c r="B35" s="64" t="s">
        <v>123</v>
      </c>
      <c r="C35" s="42"/>
      <c r="D35" s="47"/>
      <c r="E35" s="170"/>
      <c r="F35" s="170"/>
      <c r="G35" s="170"/>
    </row>
    <row r="36" spans="2:7" x14ac:dyDescent="0.25">
      <c r="B36" s="65" t="s">
        <v>124</v>
      </c>
      <c r="C36" s="35">
        <f>SUM(C28:C35)</f>
        <v>8</v>
      </c>
      <c r="D36" s="5"/>
      <c r="E36" s="6"/>
      <c r="F36" s="6"/>
      <c r="G36" s="6"/>
    </row>
    <row r="37" spans="2:7" x14ac:dyDescent="0.25">
      <c r="B37" s="66"/>
      <c r="C37" s="67"/>
      <c r="D37" s="5"/>
      <c r="E37" s="6"/>
      <c r="F37" s="6"/>
      <c r="G37" s="6"/>
    </row>
    <row r="39" spans="2:7" ht="18.75" x14ac:dyDescent="0.25">
      <c r="B39" s="176" t="s">
        <v>125</v>
      </c>
      <c r="C39" s="176"/>
    </row>
    <row r="41" spans="2:7" x14ac:dyDescent="0.25">
      <c r="B41" s="68" t="s">
        <v>126</v>
      </c>
      <c r="C41" s="68" t="s">
        <v>127</v>
      </c>
    </row>
    <row r="42" spans="2:7" x14ac:dyDescent="0.25">
      <c r="B42" s="69" t="s">
        <v>128</v>
      </c>
      <c r="C42" s="81" t="e">
        <f>#REF!</f>
        <v>#REF!</v>
      </c>
    </row>
    <row r="43" spans="2:7" x14ac:dyDescent="0.25">
      <c r="B43" s="69" t="s">
        <v>129</v>
      </c>
      <c r="C43" s="41">
        <v>0</v>
      </c>
    </row>
    <row r="44" spans="2:7" x14ac:dyDescent="0.25">
      <c r="B44" s="69" t="s">
        <v>130</v>
      </c>
      <c r="C44" s="41">
        <v>0</v>
      </c>
    </row>
    <row r="45" spans="2:7" x14ac:dyDescent="0.25">
      <c r="B45" s="70" t="s">
        <v>9</v>
      </c>
      <c r="C45" s="37" t="e">
        <f>SUM(C42:C44)</f>
        <v>#REF!</v>
      </c>
    </row>
    <row r="47" spans="2:7" ht="18.75" x14ac:dyDescent="0.25">
      <c r="B47" s="176" t="s">
        <v>131</v>
      </c>
      <c r="C47" s="176"/>
    </row>
    <row r="48" spans="2:7" ht="18.75" x14ac:dyDescent="0.25">
      <c r="B48" s="49"/>
      <c r="C48" s="49"/>
    </row>
    <row r="49" spans="2:9" x14ac:dyDescent="0.25">
      <c r="B49" s="71" t="s">
        <v>132</v>
      </c>
      <c r="C49" s="82" t="e">
        <f>#REF!</f>
        <v>#REF!</v>
      </c>
    </row>
    <row r="51" spans="2:9" x14ac:dyDescent="0.25">
      <c r="B51" s="179" t="s">
        <v>65</v>
      </c>
      <c r="C51" s="73" t="s">
        <v>133</v>
      </c>
      <c r="D51" s="73" t="s">
        <v>134</v>
      </c>
      <c r="E51" s="74" t="s">
        <v>135</v>
      </c>
      <c r="I51" s="22"/>
    </row>
    <row r="52" spans="2:9" x14ac:dyDescent="0.25">
      <c r="B52" s="179"/>
      <c r="C52" s="82" t="e">
        <f>COUNTIFS(CATEGORIAM,"Defecto")</f>
        <v>#REF!</v>
      </c>
      <c r="D52" s="82" t="e">
        <f>COUNTIFS(RESUMEN,"*Hallazgo*")</f>
        <v>#REF!</v>
      </c>
      <c r="E52" s="82" t="e">
        <f>COUNTIFS(CATEGORIAM,"Mejora")</f>
        <v>#REF!</v>
      </c>
      <c r="I52" s="22"/>
    </row>
    <row r="53" spans="2:9" x14ac:dyDescent="0.25">
      <c r="B53" s="180" t="s">
        <v>136</v>
      </c>
      <c r="C53" s="73" t="s">
        <v>137</v>
      </c>
      <c r="D53" s="73" t="s">
        <v>138</v>
      </c>
      <c r="E53" s="73" t="s">
        <v>139</v>
      </c>
      <c r="F53" s="73" t="s">
        <v>140</v>
      </c>
      <c r="G53" s="75"/>
    </row>
    <row r="54" spans="2:9" x14ac:dyDescent="0.25">
      <c r="B54" s="181"/>
      <c r="C54" s="82" t="e">
        <f>COUNTIFS(PRIORIDAD,"C")</f>
        <v>#REF!</v>
      </c>
      <c r="D54" s="82" t="e">
        <f>COUNTIFS(PRIORIDAD,"B")</f>
        <v>#REF!</v>
      </c>
      <c r="E54" s="82" t="e">
        <f>COUNTIFS(PRIORIDAD,"A")-F54</f>
        <v>#REF!</v>
      </c>
      <c r="F54" s="82" t="e">
        <f>COUNTIFS(RESUMEN,"*BLOQ*")</f>
        <v>#REF!</v>
      </c>
      <c r="G54" s="22"/>
    </row>
    <row r="55" spans="2:9" x14ac:dyDescent="0.25">
      <c r="B55" s="179" t="s">
        <v>2</v>
      </c>
      <c r="C55" s="73" t="s">
        <v>141</v>
      </c>
      <c r="D55" s="73" t="s">
        <v>6</v>
      </c>
      <c r="E55" s="73" t="s">
        <v>142</v>
      </c>
      <c r="F55" s="73" t="s">
        <v>143</v>
      </c>
      <c r="G55" s="73" t="s">
        <v>144</v>
      </c>
      <c r="H55" s="22"/>
      <c r="I55" s="22"/>
    </row>
    <row r="56" spans="2:9" x14ac:dyDescent="0.25">
      <c r="B56" s="179"/>
      <c r="C56" s="72">
        <v>0</v>
      </c>
      <c r="D56" s="72">
        <v>0</v>
      </c>
      <c r="E56" s="72">
        <v>0</v>
      </c>
      <c r="F56" s="82">
        <f>COUNT(ID)</f>
        <v>0</v>
      </c>
      <c r="G56" s="72">
        <v>0</v>
      </c>
      <c r="H56" s="22"/>
      <c r="I56" s="22"/>
    </row>
    <row r="57" spans="2:9" x14ac:dyDescent="0.25">
      <c r="B57" s="179" t="s">
        <v>66</v>
      </c>
      <c r="C57" s="73" t="s">
        <v>145</v>
      </c>
      <c r="D57" s="73" t="s">
        <v>146</v>
      </c>
      <c r="E57" s="73" t="s">
        <v>147</v>
      </c>
      <c r="F57" s="76" t="s">
        <v>148</v>
      </c>
      <c r="G57" s="76" t="s">
        <v>142</v>
      </c>
      <c r="H57" s="74" t="s">
        <v>149</v>
      </c>
      <c r="I57" s="22"/>
    </row>
    <row r="58" spans="2:9" x14ac:dyDescent="0.25">
      <c r="B58" s="179"/>
      <c r="C58" s="82" t="e">
        <f>COUNTIF(ESTADO,"Cerrado")</f>
        <v>#REF!</v>
      </c>
      <c r="D58" s="82" t="e">
        <f>COUNTIF(ESTADO,"Devuelto")</f>
        <v>#REF!</v>
      </c>
      <c r="E58" s="82" t="e">
        <f>COUNTIF(ESTADO,"En Monitoreo")</f>
        <v>#REF!</v>
      </c>
      <c r="F58" s="83" t="e">
        <f>COUNTIF(ESTADO,"Asignado")</f>
        <v>#REF!</v>
      </c>
      <c r="G58" s="83" t="e">
        <f>COUNTIF(ESTADO,"En Instalación")</f>
        <v>#REF!</v>
      </c>
      <c r="H58" s="82" t="e">
        <f>COUNTIF(ESTADO,"SFR")</f>
        <v>#REF!</v>
      </c>
      <c r="I58" s="22"/>
    </row>
    <row r="59" spans="2:9" x14ac:dyDescent="0.25">
      <c r="B59" s="179" t="s">
        <v>150</v>
      </c>
      <c r="C59" s="73" t="s">
        <v>151</v>
      </c>
      <c r="D59" s="73" t="s">
        <v>152</v>
      </c>
      <c r="E59" s="73" t="s">
        <v>153</v>
      </c>
      <c r="F59" s="73" t="s">
        <v>154</v>
      </c>
      <c r="G59" s="73" t="s">
        <v>155</v>
      </c>
      <c r="H59" s="73" t="s">
        <v>156</v>
      </c>
      <c r="I59" s="73" t="s">
        <v>54</v>
      </c>
    </row>
    <row r="60" spans="2:9" x14ac:dyDescent="0.25">
      <c r="B60" s="179"/>
      <c r="C60" s="82" t="e">
        <f>COUNTIF(CATEGORIAM,"Defecto")</f>
        <v>#REF!</v>
      </c>
      <c r="D60" s="82" t="e">
        <f>COUNTIF(CATEGORIAM,"Documentación")</f>
        <v>#REF!</v>
      </c>
      <c r="E60" s="82" t="e">
        <f>COUNTIF(CATEGORIAM,"Parametrización")</f>
        <v>#REF!</v>
      </c>
      <c r="F60" s="82" t="e">
        <f>COUNTIF(CATEGORIAM,"Ambiente")</f>
        <v>#REF!</v>
      </c>
      <c r="G60" s="82" t="e">
        <f>COUNTIF(CATEGORIAM,"Datos")</f>
        <v>#REF!</v>
      </c>
      <c r="H60" s="82" t="e">
        <f>COUNTIF(CATEGORIAM,"Desempeño")</f>
        <v>#REF!</v>
      </c>
      <c r="I60" s="82" t="e">
        <f>COUNTIF(CATEGORIAM,"Seguridad")</f>
        <v>#REF!</v>
      </c>
    </row>
    <row r="61" spans="2:9" ht="18.75" x14ac:dyDescent="0.25">
      <c r="B61" s="49"/>
      <c r="C61" s="49"/>
    </row>
    <row r="62" spans="2:9" ht="18.75" x14ac:dyDescent="0.25">
      <c r="B62" s="49"/>
      <c r="C62" s="49"/>
    </row>
    <row r="63" spans="2:9" ht="18.75" x14ac:dyDescent="0.25">
      <c r="B63" s="176" t="s">
        <v>157</v>
      </c>
      <c r="C63" s="176"/>
    </row>
    <row r="64" spans="2:9" x14ac:dyDescent="0.25">
      <c r="B64" s="75"/>
    </row>
    <row r="65" spans="2:9" x14ac:dyDescent="0.25">
      <c r="B65" s="77" t="s">
        <v>158</v>
      </c>
    </row>
    <row r="66" spans="2:9" x14ac:dyDescent="0.25">
      <c r="B66" s="41">
        <v>0</v>
      </c>
    </row>
    <row r="67" spans="2:9" x14ac:dyDescent="0.25">
      <c r="B67" s="77" t="s">
        <v>159</v>
      </c>
    </row>
    <row r="68" spans="2:9" x14ac:dyDescent="0.25">
      <c r="B68" s="41">
        <v>0</v>
      </c>
    </row>
    <row r="70" spans="2:9" ht="20.25" customHeight="1" x14ac:dyDescent="0.25">
      <c r="B70" s="78"/>
      <c r="C70" s="78"/>
      <c r="D70" s="21"/>
      <c r="E70" s="21"/>
      <c r="F70" s="21"/>
      <c r="G70" s="21"/>
      <c r="H70" s="21"/>
      <c r="I70" s="21"/>
    </row>
    <row r="71" spans="2:9" ht="22.5" customHeight="1" x14ac:dyDescent="0.25">
      <c r="E71" s="21"/>
      <c r="F71" s="21"/>
      <c r="G71" s="21"/>
      <c r="H71" s="21"/>
      <c r="I71" s="21"/>
    </row>
  </sheetData>
  <sheetProtection algorithmName="SHA-512" hashValue="pBhDMNg42638cBX8YsIgmMXdxkkVDMHRM3pdBEFfMNZPLUvlZ7GShxgsdxppcc4lbFlVr8yq9LUt+L1pAc9MWQ==" saltValue="H0oGPuxuhbKStHoQ6nbGyw==" spinCount="100000" sheet="1"/>
  <mergeCells count="22">
    <mergeCell ref="B39:C39"/>
    <mergeCell ref="B12:C12"/>
    <mergeCell ref="B63:C63"/>
    <mergeCell ref="B4:C4"/>
    <mergeCell ref="B9:B10"/>
    <mergeCell ref="B47:C47"/>
    <mergeCell ref="B51:B52"/>
    <mergeCell ref="B53:B54"/>
    <mergeCell ref="B55:B56"/>
    <mergeCell ref="B57:B58"/>
    <mergeCell ref="B59:B60"/>
    <mergeCell ref="E27:G27"/>
    <mergeCell ref="B3:J3"/>
    <mergeCell ref="B2:D2"/>
    <mergeCell ref="E28:G28"/>
    <mergeCell ref="E29:G29"/>
    <mergeCell ref="E30:G30"/>
    <mergeCell ref="E31:G31"/>
    <mergeCell ref="E32:G32"/>
    <mergeCell ref="E34:G34"/>
    <mergeCell ref="E35:G35"/>
    <mergeCell ref="E33:G33"/>
  </mergeCells>
  <phoneticPr fontId="24" type="noConversion"/>
  <conditionalFormatting sqref="C25">
    <cfRule type="cellIs" dxfId="2" priority="1" operator="greaterThan">
      <formula>0</formula>
    </cfRule>
    <cfRule type="cellIs" dxfId="1" priority="2" operator="lessThanOrEqual">
      <formula>$C$24</formula>
    </cfRule>
    <cfRule type="cellIs" dxfId="0" priority="3" operator="greaterThan">
      <formula>$C$24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1:Y61"/>
  <sheetViews>
    <sheetView showGridLines="0" workbookViewId="0">
      <selection activeCell="D7" sqref="D7"/>
    </sheetView>
  </sheetViews>
  <sheetFormatPr baseColWidth="10" defaultColWidth="11" defaultRowHeight="15.75" x14ac:dyDescent="0.25"/>
  <cols>
    <col min="1" max="1" width="11" style="15"/>
    <col min="2" max="2" width="14.875" bestFit="1" customWidth="1"/>
    <col min="3" max="3" width="14.375" bestFit="1" customWidth="1"/>
    <col min="4" max="4" width="16.375" bestFit="1" customWidth="1"/>
    <col min="5" max="5" width="14.875" customWidth="1"/>
    <col min="6" max="6" width="13.5" bestFit="1" customWidth="1"/>
    <col min="7" max="7" width="29.625" bestFit="1" customWidth="1"/>
    <col min="8" max="8" width="56.875" customWidth="1"/>
    <col min="9" max="9" width="18.75" customWidth="1"/>
    <col min="10" max="10" width="19.25" customWidth="1"/>
    <col min="11" max="11" width="16.625" bestFit="1" customWidth="1"/>
    <col min="13" max="13" width="29.625" bestFit="1" customWidth="1"/>
    <col min="14" max="15" width="29.625" customWidth="1"/>
    <col min="17" max="17" width="17.25" bestFit="1" customWidth="1"/>
    <col min="23" max="23" width="31.375" bestFit="1" customWidth="1"/>
    <col min="24" max="24" width="21.5" bestFit="1" customWidth="1"/>
    <col min="25" max="25" width="9" bestFit="1" customWidth="1"/>
    <col min="26" max="26" width="11.5" bestFit="1" customWidth="1"/>
    <col min="27" max="27" width="16" bestFit="1" customWidth="1"/>
    <col min="28" max="28" width="13.25" bestFit="1" customWidth="1"/>
    <col min="29" max="29" width="9" bestFit="1" customWidth="1"/>
  </cols>
  <sheetData>
    <row r="1" spans="1:25" x14ac:dyDescent="0.25">
      <c r="A1" s="150" t="s">
        <v>160</v>
      </c>
      <c r="B1" s="150" t="s">
        <v>161</v>
      </c>
      <c r="C1" s="4" t="s">
        <v>162</v>
      </c>
      <c r="D1" s="4" t="s">
        <v>163</v>
      </c>
      <c r="E1" s="18" t="s">
        <v>164</v>
      </c>
      <c r="F1" s="131" t="s">
        <v>165</v>
      </c>
      <c r="G1" s="146" t="s">
        <v>166</v>
      </c>
      <c r="H1" s="147" t="s">
        <v>11</v>
      </c>
      <c r="I1" s="141" t="s">
        <v>167</v>
      </c>
      <c r="J1" s="134" t="s">
        <v>3</v>
      </c>
      <c r="K1" s="18" t="s">
        <v>168</v>
      </c>
      <c r="L1" s="131" t="s">
        <v>169</v>
      </c>
      <c r="M1" s="18" t="s">
        <v>170</v>
      </c>
      <c r="N1" s="18" t="s">
        <v>3</v>
      </c>
      <c r="O1" s="137"/>
    </row>
    <row r="2" spans="1:25" x14ac:dyDescent="0.25">
      <c r="A2" s="15" t="s">
        <v>171</v>
      </c>
      <c r="B2" s="151" t="s">
        <v>172</v>
      </c>
      <c r="C2" s="132" t="s">
        <v>173</v>
      </c>
      <c r="D2" s="132" t="s">
        <v>43</v>
      </c>
      <c r="E2" s="17" t="s">
        <v>174</v>
      </c>
      <c r="F2" s="133" t="s">
        <v>72</v>
      </c>
      <c r="G2" s="145"/>
      <c r="H2" s="138" t="s">
        <v>175</v>
      </c>
      <c r="I2" s="142" t="s">
        <v>176</v>
      </c>
      <c r="J2" s="139" t="s">
        <v>176</v>
      </c>
      <c r="K2" s="17" t="s">
        <v>51</v>
      </c>
      <c r="L2" s="133"/>
      <c r="M2" s="17" t="s">
        <v>177</v>
      </c>
      <c r="N2" s="17" t="s">
        <v>4</v>
      </c>
      <c r="O2" s="15"/>
      <c r="W2" t="s">
        <v>178</v>
      </c>
    </row>
    <row r="3" spans="1:25" ht="25.5" x14ac:dyDescent="0.25">
      <c r="A3" s="17" t="s">
        <v>179</v>
      </c>
      <c r="B3" s="151" t="s">
        <v>180</v>
      </c>
      <c r="C3" s="132" t="s">
        <v>181</v>
      </c>
      <c r="D3" s="132" t="s">
        <v>42</v>
      </c>
      <c r="E3" s="17" t="s">
        <v>87</v>
      </c>
      <c r="F3" s="133" t="s">
        <v>86</v>
      </c>
      <c r="G3" s="145" t="s">
        <v>182</v>
      </c>
      <c r="H3" s="138" t="s">
        <v>183</v>
      </c>
      <c r="I3" s="142" t="s">
        <v>176</v>
      </c>
      <c r="J3" s="139" t="s">
        <v>184</v>
      </c>
      <c r="K3" s="17" t="s">
        <v>5</v>
      </c>
      <c r="L3" s="133" t="s">
        <v>185</v>
      </c>
      <c r="M3" s="17" t="s">
        <v>186</v>
      </c>
      <c r="N3" s="17" t="s">
        <v>64</v>
      </c>
      <c r="O3" s="15"/>
      <c r="P3" s="135" t="s">
        <v>187</v>
      </c>
      <c r="Q3" s="117" t="s">
        <v>188</v>
      </c>
      <c r="R3" s="117" t="s">
        <v>189</v>
      </c>
      <c r="S3" s="117" t="s">
        <v>190</v>
      </c>
      <c r="T3" s="117" t="s">
        <v>191</v>
      </c>
      <c r="U3" s="118"/>
    </row>
    <row r="4" spans="1:25" x14ac:dyDescent="0.25">
      <c r="A4" s="17" t="s">
        <v>192</v>
      </c>
      <c r="B4" s="152" t="s">
        <v>193</v>
      </c>
      <c r="D4" s="132" t="s">
        <v>45</v>
      </c>
      <c r="E4" s="17" t="s">
        <v>194</v>
      </c>
      <c r="F4" s="133"/>
      <c r="G4" s="149" t="s">
        <v>195</v>
      </c>
      <c r="H4" s="138" t="s">
        <v>196</v>
      </c>
      <c r="I4" s="142" t="s">
        <v>176</v>
      </c>
      <c r="J4" s="139" t="s">
        <v>197</v>
      </c>
      <c r="K4" s="17" t="s">
        <v>6</v>
      </c>
      <c r="L4" s="133" t="s">
        <v>198</v>
      </c>
      <c r="M4" s="17" t="s">
        <v>199</v>
      </c>
      <c r="N4" s="17" t="s">
        <v>200</v>
      </c>
      <c r="O4" s="15"/>
      <c r="P4" s="136" t="s">
        <v>201</v>
      </c>
      <c r="Q4" s="120" t="s">
        <v>152</v>
      </c>
      <c r="R4" s="121">
        <v>0</v>
      </c>
      <c r="S4" s="121">
        <v>0</v>
      </c>
      <c r="T4" s="120" t="s">
        <v>151</v>
      </c>
      <c r="U4" s="118"/>
      <c r="W4" s="154" t="s">
        <v>202</v>
      </c>
      <c r="X4" s="154" t="s">
        <v>203</v>
      </c>
      <c r="Y4" s="1"/>
    </row>
    <row r="5" spans="1:25" x14ac:dyDescent="0.25">
      <c r="A5" s="17" t="s">
        <v>204</v>
      </c>
      <c r="B5" s="152" t="s">
        <v>205</v>
      </c>
      <c r="E5" s="17" t="s">
        <v>73</v>
      </c>
      <c r="F5" s="133"/>
      <c r="G5" s="145" t="s">
        <v>206</v>
      </c>
      <c r="H5" s="138" t="s">
        <v>207</v>
      </c>
      <c r="I5" s="142" t="s">
        <v>176</v>
      </c>
      <c r="J5" s="139" t="s">
        <v>1</v>
      </c>
      <c r="K5" s="17" t="s">
        <v>7</v>
      </c>
      <c r="M5" s="17" t="s">
        <v>208</v>
      </c>
      <c r="N5" s="15"/>
      <c r="O5" s="15"/>
      <c r="P5" s="136" t="s">
        <v>201</v>
      </c>
      <c r="Q5" s="120" t="s">
        <v>151</v>
      </c>
      <c r="R5" s="121">
        <v>0</v>
      </c>
      <c r="S5" s="121">
        <v>0</v>
      </c>
      <c r="T5" s="120" t="s">
        <v>184</v>
      </c>
      <c r="U5" s="118"/>
      <c r="W5" s="154" t="s">
        <v>37</v>
      </c>
      <c r="X5" s="22" t="s">
        <v>209</v>
      </c>
      <c r="Y5" s="22" t="s">
        <v>210</v>
      </c>
    </row>
    <row r="6" spans="1:25" x14ac:dyDescent="0.25">
      <c r="A6" s="17" t="s">
        <v>211</v>
      </c>
      <c r="B6" s="152"/>
      <c r="E6" s="17" t="s">
        <v>212</v>
      </c>
      <c r="G6" s="145" t="s">
        <v>213</v>
      </c>
      <c r="H6" s="138" t="s">
        <v>214</v>
      </c>
      <c r="I6" s="142" t="s">
        <v>176</v>
      </c>
      <c r="J6" s="139" t="s">
        <v>215</v>
      </c>
      <c r="K6" s="17" t="s">
        <v>8</v>
      </c>
      <c r="M6" s="17" t="s">
        <v>133</v>
      </c>
      <c r="N6" s="15"/>
      <c r="O6" s="15"/>
      <c r="P6" s="136" t="s">
        <v>201</v>
      </c>
      <c r="Q6" s="122" t="s">
        <v>216</v>
      </c>
      <c r="R6" s="121">
        <v>0</v>
      </c>
      <c r="S6" s="121">
        <v>0</v>
      </c>
      <c r="T6" s="120" t="s">
        <v>184</v>
      </c>
      <c r="U6" s="118"/>
      <c r="W6" s="155" t="s">
        <v>217</v>
      </c>
      <c r="X6" s="1">
        <v>47</v>
      </c>
      <c r="Y6" s="1">
        <v>47</v>
      </c>
    </row>
    <row r="7" spans="1:25" x14ac:dyDescent="0.25">
      <c r="A7" s="17" t="s">
        <v>218</v>
      </c>
      <c r="G7" s="145" t="s">
        <v>219</v>
      </c>
      <c r="H7" s="138" t="s">
        <v>220</v>
      </c>
      <c r="I7" s="142" t="s">
        <v>176</v>
      </c>
      <c r="J7" s="139" t="s">
        <v>221</v>
      </c>
      <c r="M7" s="17" t="s">
        <v>222</v>
      </c>
      <c r="N7" s="15"/>
      <c r="O7" s="15"/>
      <c r="P7" s="136" t="s">
        <v>201</v>
      </c>
      <c r="Q7" s="122" t="s">
        <v>223</v>
      </c>
      <c r="R7" s="121">
        <v>0</v>
      </c>
      <c r="S7" s="121">
        <v>0</v>
      </c>
      <c r="T7" s="120" t="s">
        <v>184</v>
      </c>
      <c r="U7" s="118"/>
      <c r="W7" s="155">
        <v>0</v>
      </c>
      <c r="X7" s="1">
        <v>62</v>
      </c>
      <c r="Y7" s="1">
        <v>62</v>
      </c>
    </row>
    <row r="8" spans="1:25" ht="26.25" x14ac:dyDescent="0.25">
      <c r="A8" s="153" t="s">
        <v>224</v>
      </c>
      <c r="G8" s="145" t="s">
        <v>225</v>
      </c>
      <c r="H8" s="138" t="s">
        <v>226</v>
      </c>
      <c r="I8" s="142" t="s">
        <v>176</v>
      </c>
      <c r="J8" s="139" t="s">
        <v>227</v>
      </c>
      <c r="M8" s="17" t="s">
        <v>228</v>
      </c>
      <c r="N8" s="15"/>
      <c r="O8" s="15"/>
      <c r="P8" s="136" t="s">
        <v>229</v>
      </c>
      <c r="Q8" s="120" t="s">
        <v>229</v>
      </c>
      <c r="R8" s="121">
        <v>0</v>
      </c>
      <c r="S8" s="121">
        <v>0</v>
      </c>
      <c r="T8" s="120" t="s">
        <v>184</v>
      </c>
      <c r="U8" s="118"/>
      <c r="W8" s="155" t="s">
        <v>230</v>
      </c>
      <c r="X8" s="1">
        <v>1</v>
      </c>
      <c r="Y8" s="1">
        <v>1</v>
      </c>
    </row>
    <row r="9" spans="1:25" ht="26.25" x14ac:dyDescent="0.25">
      <c r="A9" s="153" t="s">
        <v>231</v>
      </c>
      <c r="G9" s="145" t="s">
        <v>232</v>
      </c>
      <c r="H9" s="138" t="s">
        <v>233</v>
      </c>
      <c r="I9" s="142" t="s">
        <v>234</v>
      </c>
      <c r="J9" s="139"/>
      <c r="P9" s="119" t="s">
        <v>235</v>
      </c>
      <c r="Q9" s="120" t="s">
        <v>199</v>
      </c>
      <c r="R9" s="121">
        <v>0</v>
      </c>
      <c r="S9" s="121">
        <v>0</v>
      </c>
      <c r="T9" s="120" t="s">
        <v>184</v>
      </c>
      <c r="U9" s="118"/>
      <c r="W9" s="155" t="s">
        <v>236</v>
      </c>
      <c r="X9" s="1">
        <v>1</v>
      </c>
      <c r="Y9" s="1">
        <v>1</v>
      </c>
    </row>
    <row r="10" spans="1:25" x14ac:dyDescent="0.25">
      <c r="A10" s="153" t="s">
        <v>237</v>
      </c>
      <c r="G10" s="145" t="s">
        <v>238</v>
      </c>
      <c r="H10" s="138" t="s">
        <v>239</v>
      </c>
      <c r="I10" s="142" t="s">
        <v>234</v>
      </c>
      <c r="J10" s="139"/>
      <c r="P10" s="119" t="s">
        <v>201</v>
      </c>
      <c r="Q10" s="120" t="s">
        <v>240</v>
      </c>
      <c r="R10" s="121">
        <v>0</v>
      </c>
      <c r="S10" s="121">
        <v>0</v>
      </c>
      <c r="T10" s="120" t="s">
        <v>176</v>
      </c>
      <c r="U10" s="118"/>
      <c r="W10" s="155" t="s">
        <v>241</v>
      </c>
      <c r="X10" s="1">
        <v>1</v>
      </c>
      <c r="Y10" s="1">
        <v>1</v>
      </c>
    </row>
    <row r="11" spans="1:25" x14ac:dyDescent="0.25">
      <c r="A11" s="153" t="s">
        <v>242</v>
      </c>
      <c r="G11" s="145" t="s">
        <v>243</v>
      </c>
      <c r="H11" s="138" t="s">
        <v>244</v>
      </c>
      <c r="I11" s="142" t="s">
        <v>234</v>
      </c>
      <c r="J11" s="139"/>
      <c r="P11" s="123"/>
      <c r="Q11" s="124"/>
      <c r="R11" s="116"/>
      <c r="S11" s="116"/>
      <c r="T11" s="124"/>
      <c r="U11" s="116"/>
    </row>
    <row r="12" spans="1:25" x14ac:dyDescent="0.25">
      <c r="A12" s="153" t="s">
        <v>245</v>
      </c>
      <c r="G12" s="145" t="s">
        <v>246</v>
      </c>
      <c r="H12" s="138" t="s">
        <v>247</v>
      </c>
      <c r="I12" s="142" t="s">
        <v>234</v>
      </c>
      <c r="J12" s="139"/>
      <c r="P12" s="182" t="s">
        <v>66</v>
      </c>
      <c r="Q12" s="184" t="s">
        <v>248</v>
      </c>
      <c r="R12" s="185"/>
      <c r="S12" s="185"/>
      <c r="T12" s="185"/>
      <c r="U12" s="186"/>
    </row>
    <row r="13" spans="1:25" x14ac:dyDescent="0.25">
      <c r="A13" s="153" t="s">
        <v>249</v>
      </c>
      <c r="G13" s="145" t="s">
        <v>250</v>
      </c>
      <c r="H13" s="138" t="s">
        <v>251</v>
      </c>
      <c r="I13" s="142" t="s">
        <v>234</v>
      </c>
      <c r="J13" s="139"/>
      <c r="P13" s="183"/>
      <c r="Q13" s="125" t="s">
        <v>252</v>
      </c>
      <c r="R13" s="125" t="s">
        <v>253</v>
      </c>
      <c r="S13" s="125" t="s">
        <v>254</v>
      </c>
      <c r="T13" s="125" t="s">
        <v>255</v>
      </c>
      <c r="U13" s="125" t="s">
        <v>256</v>
      </c>
    </row>
    <row r="14" spans="1:25" x14ac:dyDescent="0.25">
      <c r="A14" s="153" t="s">
        <v>257</v>
      </c>
      <c r="G14" s="145" t="s">
        <v>258</v>
      </c>
      <c r="H14" s="138" t="s">
        <v>259</v>
      </c>
      <c r="I14" s="142" t="s">
        <v>234</v>
      </c>
      <c r="J14" s="139"/>
      <c r="P14" s="126" t="s">
        <v>148</v>
      </c>
      <c r="Q14" s="127">
        <v>0</v>
      </c>
      <c r="R14" s="127">
        <v>0</v>
      </c>
      <c r="S14" s="127">
        <v>0</v>
      </c>
      <c r="T14" s="127">
        <v>0</v>
      </c>
      <c r="U14" s="128">
        <f t="shared" ref="U14:U19" si="0">SUM(Q14:T14)</f>
        <v>0</v>
      </c>
    </row>
    <row r="15" spans="1:25" x14ac:dyDescent="0.25">
      <c r="A15" s="153" t="s">
        <v>260</v>
      </c>
      <c r="G15" s="145" t="s">
        <v>261</v>
      </c>
      <c r="H15" s="138" t="s">
        <v>262</v>
      </c>
      <c r="I15" s="142" t="s">
        <v>234</v>
      </c>
      <c r="J15" s="139"/>
      <c r="P15" s="126" t="s">
        <v>263</v>
      </c>
      <c r="Q15" s="127">
        <v>0</v>
      </c>
      <c r="R15" s="127">
        <v>0</v>
      </c>
      <c r="S15" s="127">
        <v>0</v>
      </c>
      <c r="T15" s="127">
        <v>0</v>
      </c>
      <c r="U15" s="128">
        <f t="shared" si="0"/>
        <v>0</v>
      </c>
    </row>
    <row r="16" spans="1:25" x14ac:dyDescent="0.25">
      <c r="A16" s="153" t="s">
        <v>264</v>
      </c>
      <c r="G16" s="145" t="s">
        <v>265</v>
      </c>
      <c r="H16" s="138" t="s">
        <v>266</v>
      </c>
      <c r="I16" s="142" t="s">
        <v>234</v>
      </c>
      <c r="J16" s="139"/>
      <c r="P16" s="126" t="s">
        <v>267</v>
      </c>
      <c r="Q16" s="127">
        <v>0</v>
      </c>
      <c r="R16" s="127">
        <v>0</v>
      </c>
      <c r="S16" s="127">
        <v>0</v>
      </c>
      <c r="T16" s="127">
        <v>0</v>
      </c>
      <c r="U16" s="128">
        <f t="shared" si="0"/>
        <v>0</v>
      </c>
    </row>
    <row r="17" spans="1:21" x14ac:dyDescent="0.25">
      <c r="A17" s="153" t="s">
        <v>268</v>
      </c>
      <c r="G17" s="145" t="s">
        <v>269</v>
      </c>
      <c r="H17" s="138" t="s">
        <v>270</v>
      </c>
      <c r="I17" s="142" t="s">
        <v>234</v>
      </c>
      <c r="J17" s="139"/>
      <c r="P17" s="126" t="s">
        <v>271</v>
      </c>
      <c r="Q17" s="127">
        <v>0</v>
      </c>
      <c r="R17" s="127">
        <v>0</v>
      </c>
      <c r="S17" s="127">
        <v>0</v>
      </c>
      <c r="T17" s="127">
        <v>0</v>
      </c>
      <c r="U17" s="128">
        <f t="shared" si="0"/>
        <v>0</v>
      </c>
    </row>
    <row r="18" spans="1:21" x14ac:dyDescent="0.25">
      <c r="A18" s="153" t="s">
        <v>272</v>
      </c>
      <c r="G18" s="145" t="s">
        <v>273</v>
      </c>
      <c r="H18" s="138" t="s">
        <v>274</v>
      </c>
      <c r="I18" s="142" t="s">
        <v>275</v>
      </c>
      <c r="J18" s="139"/>
      <c r="P18" s="126" t="s">
        <v>145</v>
      </c>
      <c r="Q18" s="127">
        <v>0</v>
      </c>
      <c r="R18" s="127">
        <v>0</v>
      </c>
      <c r="S18" s="127">
        <v>0</v>
      </c>
      <c r="T18" s="127">
        <v>0</v>
      </c>
      <c r="U18" s="128">
        <f t="shared" si="0"/>
        <v>0</v>
      </c>
    </row>
    <row r="19" spans="1:21" x14ac:dyDescent="0.25">
      <c r="A19" s="153" t="s">
        <v>276</v>
      </c>
      <c r="G19" s="145" t="s">
        <v>277</v>
      </c>
      <c r="H19" s="138" t="s">
        <v>278</v>
      </c>
      <c r="I19" s="143" t="s">
        <v>1</v>
      </c>
      <c r="J19" s="140"/>
      <c r="P19" s="126" t="s">
        <v>279</v>
      </c>
      <c r="Q19" s="127">
        <v>0</v>
      </c>
      <c r="R19" s="127">
        <v>0</v>
      </c>
      <c r="S19" s="127">
        <v>0</v>
      </c>
      <c r="T19" s="127">
        <v>0</v>
      </c>
      <c r="U19" s="128">
        <f t="shared" si="0"/>
        <v>0</v>
      </c>
    </row>
    <row r="20" spans="1:21" x14ac:dyDescent="0.25">
      <c r="A20" s="153" t="s">
        <v>280</v>
      </c>
      <c r="G20" s="145" t="s">
        <v>281</v>
      </c>
      <c r="H20" s="138" t="s">
        <v>282</v>
      </c>
      <c r="I20" s="142" t="s">
        <v>283</v>
      </c>
      <c r="J20" s="139"/>
      <c r="P20" s="129" t="s">
        <v>284</v>
      </c>
      <c r="Q20" s="130">
        <f>SUM(Q14:Q18)</f>
        <v>0</v>
      </c>
      <c r="R20" s="130">
        <f>SUM(R14:R18)</f>
        <v>0</v>
      </c>
      <c r="S20" s="130">
        <f>SUM(S14:S18)</f>
        <v>0</v>
      </c>
      <c r="T20" s="130">
        <f>SUM(T14:T18)</f>
        <v>0</v>
      </c>
      <c r="U20" s="130">
        <f>SUM(U14:U18)</f>
        <v>0</v>
      </c>
    </row>
    <row r="21" spans="1:21" x14ac:dyDescent="0.25">
      <c r="A21" s="153" t="s">
        <v>285</v>
      </c>
      <c r="G21" s="145" t="s">
        <v>286</v>
      </c>
      <c r="H21" s="138" t="s">
        <v>287</v>
      </c>
      <c r="I21" s="142" t="s">
        <v>283</v>
      </c>
      <c r="J21" s="139"/>
      <c r="P21" s="118"/>
      <c r="Q21" s="118"/>
      <c r="R21" s="118"/>
      <c r="S21" s="118"/>
      <c r="T21" s="118"/>
      <c r="U21" s="118"/>
    </row>
    <row r="22" spans="1:21" x14ac:dyDescent="0.25">
      <c r="A22" s="153" t="s">
        <v>288</v>
      </c>
      <c r="G22" s="145" t="s">
        <v>289</v>
      </c>
      <c r="H22" s="138" t="s">
        <v>290</v>
      </c>
      <c r="I22" s="142" t="s">
        <v>283</v>
      </c>
      <c r="J22" s="139"/>
    </row>
    <row r="23" spans="1:21" x14ac:dyDescent="0.25">
      <c r="A23" s="16"/>
      <c r="G23" s="145" t="s">
        <v>291</v>
      </c>
      <c r="H23" s="138" t="s">
        <v>292</v>
      </c>
      <c r="I23" s="142" t="s">
        <v>283</v>
      </c>
      <c r="J23" s="139"/>
    </row>
    <row r="24" spans="1:21" x14ac:dyDescent="0.25">
      <c r="A24" s="16"/>
      <c r="G24" s="145" t="s">
        <v>293</v>
      </c>
      <c r="H24" s="138" t="s">
        <v>294</v>
      </c>
      <c r="I24" s="142" t="s">
        <v>283</v>
      </c>
      <c r="J24" s="139"/>
    </row>
    <row r="25" spans="1:21" x14ac:dyDescent="0.25">
      <c r="A25" s="16"/>
      <c r="G25" s="145" t="s">
        <v>295</v>
      </c>
      <c r="H25" s="138" t="s">
        <v>296</v>
      </c>
      <c r="I25" s="142" t="s">
        <v>283</v>
      </c>
      <c r="J25" s="139"/>
    </row>
    <row r="26" spans="1:21" x14ac:dyDescent="0.25">
      <c r="A26" s="16"/>
      <c r="G26" s="145" t="s">
        <v>297</v>
      </c>
      <c r="H26" s="138" t="s">
        <v>298</v>
      </c>
      <c r="I26" s="142" t="s">
        <v>283</v>
      </c>
      <c r="J26" s="139"/>
    </row>
    <row r="27" spans="1:21" x14ac:dyDescent="0.25">
      <c r="A27" s="16"/>
      <c r="G27" s="145" t="s">
        <v>299</v>
      </c>
      <c r="H27" s="138" t="s">
        <v>300</v>
      </c>
      <c r="I27" s="142" t="s">
        <v>283</v>
      </c>
      <c r="J27" s="139"/>
    </row>
    <row r="28" spans="1:21" x14ac:dyDescent="0.25">
      <c r="A28" s="16"/>
      <c r="G28" s="145" t="s">
        <v>301</v>
      </c>
      <c r="H28" s="138" t="s">
        <v>302</v>
      </c>
      <c r="I28" s="142" t="s">
        <v>221</v>
      </c>
      <c r="J28" s="139"/>
    </row>
    <row r="29" spans="1:21" x14ac:dyDescent="0.25">
      <c r="A29" s="16"/>
      <c r="G29" s="145" t="s">
        <v>303</v>
      </c>
      <c r="H29" s="138" t="s">
        <v>304</v>
      </c>
      <c r="I29" s="142" t="s">
        <v>221</v>
      </c>
      <c r="J29" s="139"/>
    </row>
    <row r="30" spans="1:21" x14ac:dyDescent="0.25">
      <c r="A30" s="16"/>
      <c r="G30" s="145" t="s">
        <v>305</v>
      </c>
      <c r="H30" s="138" t="s">
        <v>306</v>
      </c>
      <c r="I30" s="142" t="s">
        <v>221</v>
      </c>
      <c r="J30" s="139"/>
    </row>
    <row r="31" spans="1:21" x14ac:dyDescent="0.25">
      <c r="A31" s="16"/>
      <c r="G31" s="145" t="s">
        <v>307</v>
      </c>
      <c r="H31" s="138" t="s">
        <v>308</v>
      </c>
      <c r="I31" s="142" t="s">
        <v>221</v>
      </c>
      <c r="J31" s="139"/>
    </row>
    <row r="32" spans="1:21" ht="16.5" thickBot="1" x14ac:dyDescent="0.3">
      <c r="A32" s="16"/>
      <c r="G32" s="145" t="s">
        <v>309</v>
      </c>
      <c r="H32" s="148" t="s">
        <v>310</v>
      </c>
      <c r="I32" s="144" t="s">
        <v>221</v>
      </c>
      <c r="J32" s="139"/>
    </row>
    <row r="33" spans="1:7" x14ac:dyDescent="0.25">
      <c r="A33" s="16"/>
      <c r="G33" s="145" t="s">
        <v>311</v>
      </c>
    </row>
    <row r="34" spans="1:7" x14ac:dyDescent="0.25">
      <c r="A34" s="16"/>
      <c r="G34" s="145" t="s">
        <v>312</v>
      </c>
    </row>
    <row r="35" spans="1:7" x14ac:dyDescent="0.25">
      <c r="A35" s="16"/>
      <c r="G35" s="145" t="s">
        <v>313</v>
      </c>
    </row>
    <row r="36" spans="1:7" x14ac:dyDescent="0.25">
      <c r="A36" s="16"/>
      <c r="G36" s="145" t="s">
        <v>314</v>
      </c>
    </row>
    <row r="37" spans="1:7" x14ac:dyDescent="0.25">
      <c r="A37" s="16"/>
      <c r="G37" s="145" t="s">
        <v>315</v>
      </c>
    </row>
    <row r="38" spans="1:7" x14ac:dyDescent="0.25">
      <c r="A38" s="16"/>
      <c r="G38" s="145" t="s">
        <v>316</v>
      </c>
    </row>
    <row r="39" spans="1:7" x14ac:dyDescent="0.25">
      <c r="A39" s="16"/>
      <c r="G39" s="145" t="s">
        <v>317</v>
      </c>
    </row>
    <row r="40" spans="1:7" x14ac:dyDescent="0.25">
      <c r="A40" s="16"/>
      <c r="G40" s="145" t="s">
        <v>318</v>
      </c>
    </row>
    <row r="41" spans="1:7" x14ac:dyDescent="0.25">
      <c r="A41" s="16"/>
      <c r="G41" s="145" t="s">
        <v>319</v>
      </c>
    </row>
    <row r="42" spans="1:7" x14ac:dyDescent="0.25">
      <c r="A42" s="16"/>
      <c r="G42" s="145" t="s">
        <v>320</v>
      </c>
    </row>
    <row r="43" spans="1:7" x14ac:dyDescent="0.25">
      <c r="A43" s="16"/>
      <c r="G43" s="145" t="s">
        <v>321</v>
      </c>
    </row>
    <row r="44" spans="1:7" x14ac:dyDescent="0.25">
      <c r="A44" s="16"/>
      <c r="G44" s="145" t="s">
        <v>322</v>
      </c>
    </row>
    <row r="45" spans="1:7" x14ac:dyDescent="0.25">
      <c r="A45" s="16"/>
      <c r="G45" s="145" t="s">
        <v>323</v>
      </c>
    </row>
    <row r="46" spans="1:7" x14ac:dyDescent="0.25">
      <c r="A46" s="16"/>
      <c r="G46" s="145" t="s">
        <v>324</v>
      </c>
    </row>
    <row r="47" spans="1:7" x14ac:dyDescent="0.25">
      <c r="A47" s="16"/>
      <c r="G47" s="145" t="s">
        <v>325</v>
      </c>
    </row>
    <row r="48" spans="1:7" x14ac:dyDescent="0.25">
      <c r="A48" s="16"/>
      <c r="G48" s="145" t="s">
        <v>326</v>
      </c>
    </row>
    <row r="49" spans="1:7" x14ac:dyDescent="0.25">
      <c r="A49" s="16"/>
      <c r="G49" s="145" t="s">
        <v>327</v>
      </c>
    </row>
    <row r="50" spans="1:7" x14ac:dyDescent="0.25">
      <c r="A50" s="16"/>
      <c r="G50" s="145" t="s">
        <v>328</v>
      </c>
    </row>
    <row r="51" spans="1:7" x14ac:dyDescent="0.25">
      <c r="A51" s="16"/>
      <c r="G51" s="145" t="s">
        <v>329</v>
      </c>
    </row>
    <row r="52" spans="1:7" x14ac:dyDescent="0.25">
      <c r="A52" s="16"/>
      <c r="G52" s="145" t="s">
        <v>330</v>
      </c>
    </row>
    <row r="53" spans="1:7" x14ac:dyDescent="0.25">
      <c r="A53" s="16"/>
      <c r="G53" s="145" t="s">
        <v>331</v>
      </c>
    </row>
    <row r="54" spans="1:7" x14ac:dyDescent="0.25">
      <c r="A54" s="16"/>
      <c r="G54" s="145" t="s">
        <v>332</v>
      </c>
    </row>
    <row r="55" spans="1:7" x14ac:dyDescent="0.25">
      <c r="A55" s="16"/>
      <c r="G55" s="145" t="s">
        <v>333</v>
      </c>
    </row>
    <row r="56" spans="1:7" x14ac:dyDescent="0.25">
      <c r="A56" s="16"/>
      <c r="G56" s="145" t="s">
        <v>334</v>
      </c>
    </row>
    <row r="57" spans="1:7" x14ac:dyDescent="0.25">
      <c r="A57" s="16"/>
      <c r="G57" s="145" t="s">
        <v>335</v>
      </c>
    </row>
    <row r="58" spans="1:7" x14ac:dyDescent="0.25">
      <c r="A58" s="16"/>
      <c r="G58" s="145" t="s">
        <v>336</v>
      </c>
    </row>
    <row r="59" spans="1:7" x14ac:dyDescent="0.25">
      <c r="A59" s="16"/>
      <c r="G59" s="145" t="s">
        <v>337</v>
      </c>
    </row>
    <row r="60" spans="1:7" x14ac:dyDescent="0.25">
      <c r="A60" s="16"/>
      <c r="G60" s="145" t="s">
        <v>338</v>
      </c>
    </row>
    <row r="61" spans="1:7" x14ac:dyDescent="0.25">
      <c r="A61" s="16"/>
      <c r="G61" s="145" t="s">
        <v>339</v>
      </c>
    </row>
  </sheetData>
  <sheetProtection autoFilter="0" pivotTables="0"/>
  <sortState xmlns:xlrd2="http://schemas.microsoft.com/office/spreadsheetml/2017/richdata2" ref="G3:G38">
    <sortCondition ref="G2:G38"/>
  </sortState>
  <mergeCells count="2">
    <mergeCell ref="P12:P13"/>
    <mergeCell ref="Q12:U12"/>
  </mergeCells>
  <phoneticPr fontId="24" type="noConversion"/>
  <pageMargins left="0.7" right="0.7" top="0.75" bottom="0.75" header="0.3" footer="0.3"/>
  <pageSetup paperSize="9" orientation="portrait" horizontalDpi="300" verticalDpi="3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8"/>
  <dimension ref="A6:H18"/>
  <sheetViews>
    <sheetView showGridLines="0" workbookViewId="0">
      <selection activeCell="B18" sqref="B18:C18"/>
    </sheetView>
  </sheetViews>
  <sheetFormatPr baseColWidth="10" defaultColWidth="0" defaultRowHeight="15.75" x14ac:dyDescent="0.25"/>
  <cols>
    <col min="1" max="1" width="9" customWidth="1"/>
    <col min="2" max="3" width="18.5" customWidth="1"/>
    <col min="4" max="4" width="24.875" customWidth="1"/>
    <col min="5" max="5" width="18.5" customWidth="1"/>
    <col min="6" max="6" width="35.625" customWidth="1"/>
    <col min="7" max="7" width="46.75" customWidth="1"/>
    <col min="8" max="8" width="33.25" customWidth="1"/>
    <col min="9" max="9" width="9" customWidth="1"/>
  </cols>
  <sheetData>
    <row r="6" spans="1:8" ht="22.5" x14ac:dyDescent="0.25">
      <c r="A6" s="7"/>
      <c r="B6" s="189" t="s">
        <v>340</v>
      </c>
      <c r="C6" s="190"/>
      <c r="D6" s="190"/>
      <c r="E6" s="190"/>
      <c r="F6" s="190"/>
      <c r="G6" s="190"/>
      <c r="H6" s="191"/>
    </row>
    <row r="7" spans="1:8" x14ac:dyDescent="0.25">
      <c r="A7" s="7"/>
      <c r="B7" s="7"/>
      <c r="D7" s="194" t="s">
        <v>341</v>
      </c>
      <c r="E7" s="194"/>
      <c r="F7" s="194"/>
      <c r="G7" s="194"/>
      <c r="H7" s="195"/>
    </row>
    <row r="8" spans="1:8" x14ac:dyDescent="0.25">
      <c r="A8" s="7"/>
      <c r="B8" s="192" t="s">
        <v>342</v>
      </c>
      <c r="C8" s="193"/>
      <c r="D8" s="12" t="s">
        <v>343</v>
      </c>
      <c r="E8" s="12" t="s">
        <v>344</v>
      </c>
      <c r="F8" s="12" t="s">
        <v>345</v>
      </c>
      <c r="G8" s="12" t="s">
        <v>346</v>
      </c>
      <c r="H8" s="12" t="s">
        <v>347</v>
      </c>
    </row>
    <row r="9" spans="1:8" ht="27" customHeight="1" x14ac:dyDescent="0.25">
      <c r="A9" s="7"/>
      <c r="B9" s="187" t="s">
        <v>348</v>
      </c>
      <c r="C9" s="188"/>
      <c r="D9" s="8" t="s">
        <v>349</v>
      </c>
      <c r="E9" s="11">
        <v>43486</v>
      </c>
      <c r="F9" s="9" t="s">
        <v>350</v>
      </c>
      <c r="G9" s="9" t="s">
        <v>351</v>
      </c>
      <c r="H9" s="9" t="s">
        <v>352</v>
      </c>
    </row>
    <row r="10" spans="1:8" ht="35.25" customHeight="1" x14ac:dyDescent="0.25">
      <c r="A10" s="10" t="s">
        <v>341</v>
      </c>
      <c r="B10" s="187" t="s">
        <v>353</v>
      </c>
      <c r="C10" s="188"/>
      <c r="D10" s="8" t="s">
        <v>354</v>
      </c>
      <c r="E10" s="11">
        <v>44138</v>
      </c>
      <c r="F10" s="9" t="s">
        <v>355</v>
      </c>
      <c r="G10" s="9" t="s">
        <v>356</v>
      </c>
      <c r="H10" s="9" t="s">
        <v>352</v>
      </c>
    </row>
    <row r="11" spans="1:8" ht="24.75" x14ac:dyDescent="0.25">
      <c r="A11" s="10" t="s">
        <v>341</v>
      </c>
      <c r="B11" s="187" t="s">
        <v>357</v>
      </c>
      <c r="C11" s="188"/>
      <c r="D11" s="8" t="s">
        <v>358</v>
      </c>
      <c r="E11" s="11">
        <v>44252</v>
      </c>
      <c r="F11" s="9" t="s">
        <v>359</v>
      </c>
      <c r="G11" s="9" t="s">
        <v>360</v>
      </c>
      <c r="H11" s="9" t="s">
        <v>352</v>
      </c>
    </row>
    <row r="12" spans="1:8" ht="36.75" x14ac:dyDescent="0.25">
      <c r="B12" s="187" t="s">
        <v>361</v>
      </c>
      <c r="C12" s="188"/>
      <c r="D12" s="8" t="s">
        <v>358</v>
      </c>
      <c r="E12" s="11">
        <v>44629</v>
      </c>
      <c r="F12" s="9" t="s">
        <v>362</v>
      </c>
      <c r="G12" s="9" t="s">
        <v>363</v>
      </c>
      <c r="H12" s="9" t="s">
        <v>352</v>
      </c>
    </row>
    <row r="13" spans="1:8" ht="24.75" x14ac:dyDescent="0.25">
      <c r="B13" s="187" t="s">
        <v>364</v>
      </c>
      <c r="C13" s="188"/>
      <c r="D13" s="8" t="s">
        <v>358</v>
      </c>
      <c r="E13" s="11">
        <v>44900</v>
      </c>
      <c r="F13" s="9" t="s">
        <v>365</v>
      </c>
      <c r="G13" s="9" t="s">
        <v>366</v>
      </c>
      <c r="H13" s="9" t="s">
        <v>352</v>
      </c>
    </row>
    <row r="14" spans="1:8" ht="36.75" x14ac:dyDescent="0.25">
      <c r="B14" s="187" t="s">
        <v>367</v>
      </c>
      <c r="C14" s="188"/>
      <c r="D14" s="8" t="s">
        <v>358</v>
      </c>
      <c r="E14" s="11">
        <v>45026</v>
      </c>
      <c r="F14" s="9" t="s">
        <v>368</v>
      </c>
      <c r="G14" s="9" t="s">
        <v>366</v>
      </c>
      <c r="H14" s="9" t="s">
        <v>352</v>
      </c>
    </row>
    <row r="15" spans="1:8" ht="24.75" x14ac:dyDescent="0.25">
      <c r="B15" s="187" t="s">
        <v>369</v>
      </c>
      <c r="C15" s="188"/>
      <c r="D15" s="8" t="s">
        <v>358</v>
      </c>
      <c r="E15" s="11">
        <v>45035</v>
      </c>
      <c r="F15" s="9" t="s">
        <v>370</v>
      </c>
      <c r="G15" s="9" t="s">
        <v>366</v>
      </c>
      <c r="H15" s="9" t="s">
        <v>352</v>
      </c>
    </row>
    <row r="16" spans="1:8" ht="24.75" x14ac:dyDescent="0.25">
      <c r="B16" s="187" t="s">
        <v>371</v>
      </c>
      <c r="C16" s="188"/>
      <c r="D16" s="8" t="s">
        <v>358</v>
      </c>
      <c r="E16" s="11">
        <v>45065</v>
      </c>
      <c r="F16" s="9" t="s">
        <v>372</v>
      </c>
      <c r="G16" s="9" t="s">
        <v>366</v>
      </c>
      <c r="H16" s="9" t="s">
        <v>352</v>
      </c>
    </row>
    <row r="17" spans="2:8" ht="24.75" x14ac:dyDescent="0.25">
      <c r="B17" s="187" t="s">
        <v>373</v>
      </c>
      <c r="C17" s="188"/>
      <c r="D17" s="8" t="s">
        <v>358</v>
      </c>
      <c r="E17" s="11">
        <v>45240</v>
      </c>
      <c r="F17" s="9" t="s">
        <v>374</v>
      </c>
      <c r="G17" s="9" t="s">
        <v>366</v>
      </c>
      <c r="H17" s="9" t="s">
        <v>375</v>
      </c>
    </row>
    <row r="18" spans="2:8" ht="36.75" x14ac:dyDescent="0.25">
      <c r="B18" s="187" t="s">
        <v>376</v>
      </c>
      <c r="C18" s="188"/>
      <c r="D18" s="8" t="s">
        <v>358</v>
      </c>
      <c r="E18" s="11">
        <v>45244</v>
      </c>
      <c r="F18" s="9" t="s">
        <v>377</v>
      </c>
      <c r="G18" s="9" t="s">
        <v>366</v>
      </c>
      <c r="H18" s="9" t="s">
        <v>375</v>
      </c>
    </row>
  </sheetData>
  <sheetProtection algorithmName="SHA-512" hashValue="xDhe6e9ISMUuz7kTjwXwA7Ab/Pv+BaVA/hd6wl2e/XiaqE4nDxjUt/Ot+VYdTu0fteGtT5iNdNfdN1IWUHkZYg==" saltValue="iO1cMcAun3So2ciB12aypw==" spinCount="100000" sheet="1" objects="1" scenarios="1"/>
  <mergeCells count="13">
    <mergeCell ref="B17:C17"/>
    <mergeCell ref="B18:C18"/>
    <mergeCell ref="B16:C16"/>
    <mergeCell ref="B15:C15"/>
    <mergeCell ref="B6:H6"/>
    <mergeCell ref="B9:C9"/>
    <mergeCell ref="B10:C10"/>
    <mergeCell ref="B8:C8"/>
    <mergeCell ref="B14:C14"/>
    <mergeCell ref="B11:C11"/>
    <mergeCell ref="B12:C12"/>
    <mergeCell ref="B13:C13"/>
    <mergeCell ref="D7:H7"/>
  </mergeCells>
  <phoneticPr fontId="24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2A2E6BF58E6D440BF3877611A79E352" ma:contentTypeVersion="8" ma:contentTypeDescription="Crear nuevo documento." ma:contentTypeScope="" ma:versionID="0a2b82af4a53d8a5fb03ca753718dc57">
  <xsd:schema xmlns:xsd="http://www.w3.org/2001/XMLSchema" xmlns:xs="http://www.w3.org/2001/XMLSchema" xmlns:p="http://schemas.microsoft.com/office/2006/metadata/properties" xmlns:ns2="3e3d9626-1e3c-4d00-bd05-77650deb1d5a" targetNamespace="http://schemas.microsoft.com/office/2006/metadata/properties" ma:root="true" ma:fieldsID="0ad8f71ebbb66c6a4084dfcca1b14c03" ns2:_="">
    <xsd:import namespace="3e3d9626-1e3c-4d00-bd05-77650deb1d5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d9626-1e3c-4d00-bd05-77650deb1d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24C2070-BA86-41DF-B3C9-E430626CEA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3d9626-1e3c-4d00-bd05-77650deb1d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9F8CD9-D1FD-4C4F-991E-95C1C74356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CAE1BF-D5FA-4AA0-82B2-08E0F293689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Calculo Factor de Ajuste</vt:lpstr>
      <vt:lpstr>Estimación 2</vt:lpstr>
      <vt:lpstr>Estimación 3</vt:lpstr>
      <vt:lpstr>Estimación 4</vt:lpstr>
      <vt:lpstr>Estimación 5</vt:lpstr>
      <vt:lpstr>Set De Pruebas</vt:lpstr>
      <vt:lpstr>Gestión de Actas</vt:lpstr>
      <vt:lpstr>Informe de Cierre</vt:lpstr>
      <vt:lpstr>listas</vt:lpstr>
      <vt:lpstr>Control de Cambios al Documento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Kaony </cp:lastModifiedBy>
  <cp:revision/>
  <dcterms:created xsi:type="dcterms:W3CDTF">2020-07-14T18:48:11Z</dcterms:created>
  <dcterms:modified xsi:type="dcterms:W3CDTF">2025-05-24T01:36:35Z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0x01010072A2E6BF58E6D440BF3877611A79E352</vt:lpwstr>
  </property>
  <property fmtid="{D5CDD505-2E9C-101B-9397-08002B2CF9AE}" pid="3" name="MediaServiceImageTags">
    <vt:lpwstr/>
  </property>
  <property fmtid="{D5CDD505-2E9C-101B-9397-08002B2CF9AE}" pid="4" name="Order">
    <vt:r8>2227400</vt:r8>
  </property>
  <property fmtid="{D5CDD505-2E9C-101B-9397-08002B2CF9AE}" pid="5" name="TriggerFlowInfo">
    <vt:lpwstr/>
  </property>
  <property fmtid="{D5CDD505-2E9C-101B-9397-08002B2CF9AE}" pid="6" name="_ColorHex">
    <vt:lpwstr/>
  </property>
  <property fmtid="{D5CDD505-2E9C-101B-9397-08002B2CF9AE}" pid="7" name="_Emoji">
    <vt:lpwstr/>
  </property>
  <property fmtid="{D5CDD505-2E9C-101B-9397-08002B2CF9AE}" pid="8" name="ComplianceAssetId">
    <vt:lpwstr/>
  </property>
  <property fmtid="{D5CDD505-2E9C-101B-9397-08002B2CF9AE}" pid="9" name="_ExtendedDescription">
    <vt:lpwstr/>
  </property>
  <property fmtid="{D5CDD505-2E9C-101B-9397-08002B2CF9AE}" pid="10" name="_ColorTag">
    <vt:lpwstr/>
  </property>
</Properties>
</file>